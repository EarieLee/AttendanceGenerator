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 firstSheet="1" activeTab="1"/>
  </bookViews>
  <sheets>
    <sheet name="10月考勤统计表" sheetId="5" state="hidden" r:id="rId1"/>
    <sheet name="5月考勤统计表 " sheetId="9" r:id="rId2"/>
    <sheet name="加班补贴表 " sheetId="8" r:id="rId3"/>
    <sheet name="夜班补贴" sheetId="6" r:id="rId4"/>
  </sheets>
  <definedNames>
    <definedName name="_xlnm._FilterDatabase" localSheetId="0" hidden="1">'10月考勤统计表'!$A$3:$AT$205</definedName>
    <definedName name="_xlnm._FilterDatabase" localSheetId="1" hidden="1">'5月考勤统计表 '!$A$3:$AU$211</definedName>
    <definedName name="_xlnm._FilterDatabase" localSheetId="2" hidden="1">'加班补贴表 '!$A$2:$BV$131</definedName>
    <definedName name="_xlnm._FilterDatabase" localSheetId="3" hidden="1">夜班补贴!$A$2:$BZ$39</definedName>
    <definedName name="_xlnm.Print_Titles" localSheetId="0">'10月考勤统计表'!$1:$3</definedName>
    <definedName name="_xlnm.Print_Area" localSheetId="3">夜班补贴!$A$1:$K$39</definedName>
    <definedName name="_xlnm.Print_Titles" localSheetId="2">'加班补贴表 '!$1:$2</definedName>
    <definedName name="_xlnm.Print_Area" localSheetId="2">'加班补贴表 '!$A$1:$AI$131</definedName>
    <definedName name="_xlnm.Print_Area" localSheetId="0">'10月考勤统计表'!$A$1:$AT$196</definedName>
    <definedName name="_xlnm.Print_Titles" localSheetId="1">'5月考勤统计表 '!$1:$3</definedName>
    <definedName name="_xlnm.Print_Area" localSheetId="1">'5月考勤统计表 '!$A$1:$AU$204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M3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  <r>
          <rPr>
            <sz val="10"/>
            <rFont val="宋体"/>
            <charset val="134"/>
          </rPr>
          <t>病假4H</t>
        </r>
      </text>
    </comment>
    <comment ref="N7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病假 32H</t>
        </r>
      </text>
    </comment>
    <comment ref="P7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病假</t>
        </r>
      </text>
    </comment>
    <comment ref="Q7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病假</t>
        </r>
      </text>
    </comment>
    <comment ref="R7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病假</t>
        </r>
      </text>
    </comment>
    <comment ref="AG158" authorId="0">
      <text>
        <r>
          <rPr>
            <b/>
            <sz val="9"/>
            <rFont val="宋体"/>
            <charset val="134"/>
          </rPr>
          <t xml:space="preserve">Administrato
</t>
        </r>
        <r>
          <rPr>
            <sz val="10"/>
            <rFont val="宋体"/>
            <charset val="134"/>
          </rPr>
          <t>病假10H</t>
        </r>
      </text>
    </comment>
    <comment ref="AH158" authorId="0">
      <text>
        <r>
          <rPr>
            <b/>
            <sz val="9"/>
            <rFont val="宋体"/>
            <charset val="134"/>
          </rPr>
          <t xml:space="preserve">Administrato
</t>
        </r>
        <r>
          <rPr>
            <sz val="10"/>
            <rFont val="宋体"/>
            <charset val="134"/>
          </rPr>
          <t>病假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X11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请的病假4.5H</t>
        </r>
      </text>
    </comment>
    <comment ref="N11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病假1.5H
</t>
        </r>
      </text>
    </comment>
  </commentList>
</comments>
</file>

<file path=xl/comments3.xml><?xml version="1.0" encoding="utf-8"?>
<comments xmlns="http://schemas.openxmlformats.org/spreadsheetml/2006/main">
  <authors>
    <author>Administrator</author>
  </authors>
  <commentList>
    <comment ref="AH1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2520/21.75/8=14.48；
14.48*1.5=21.72</t>
        </r>
      </text>
    </comment>
  </commentList>
</comments>
</file>

<file path=xl/sharedStrings.xml><?xml version="1.0" encoding="utf-8"?>
<sst xmlns="http://schemas.openxmlformats.org/spreadsheetml/2006/main" count="13317" uniqueCount="473">
  <si>
    <t>2025年10月 Microtest考勤统计表      （出勤18天 法定4天  休9天 ）</t>
  </si>
  <si>
    <t xml:space="preserve">            </t>
  </si>
  <si>
    <t>合计</t>
  </si>
  <si>
    <t>出勤（天）</t>
  </si>
  <si>
    <t>休息</t>
  </si>
  <si>
    <t>法定（天）</t>
  </si>
  <si>
    <t>请假（天）</t>
  </si>
  <si>
    <t>年假（天）</t>
  </si>
  <si>
    <t>调休（天）</t>
  </si>
  <si>
    <t>陪产假（天）</t>
  </si>
  <si>
    <t>婚假（天）</t>
  </si>
  <si>
    <t>其他（扣法定假）</t>
  </si>
  <si>
    <t>扣工资合计（天数）</t>
  </si>
  <si>
    <t>备注</t>
  </si>
  <si>
    <t>三</t>
  </si>
  <si>
    <t>四</t>
  </si>
  <si>
    <t>五</t>
  </si>
  <si>
    <t>六</t>
  </si>
  <si>
    <t>日</t>
  </si>
  <si>
    <t>一</t>
  </si>
  <si>
    <t>二</t>
  </si>
  <si>
    <t>胡荣霞</t>
  </si>
  <si>
    <t>业务一部</t>
  </si>
  <si>
    <t>法定</t>
  </si>
  <si>
    <t>休</t>
  </si>
  <si>
    <t>事假8H</t>
  </si>
  <si>
    <t>公司出勤</t>
  </si>
  <si>
    <t>事假2.5H</t>
  </si>
  <si>
    <t>胡赵军</t>
  </si>
  <si>
    <t>调休3.5H</t>
  </si>
  <si>
    <t>调休0.44天，详见联络单</t>
  </si>
  <si>
    <t>王铭坤</t>
  </si>
  <si>
    <t>姜敏捷</t>
  </si>
  <si>
    <t>龚洁瑜</t>
  </si>
  <si>
    <t>/</t>
  </si>
  <si>
    <t>10.9离职              10月份工资已在9月结清</t>
  </si>
  <si>
    <t>唐曹凤</t>
  </si>
  <si>
    <t>黄杰</t>
  </si>
  <si>
    <t>10.10新入职，10.13离职</t>
  </si>
  <si>
    <t>吴滔</t>
  </si>
  <si>
    <t>10.17入职，10.17自离</t>
  </si>
  <si>
    <t>邓慧玲</t>
  </si>
  <si>
    <t>10.9入职，10.9自离</t>
  </si>
  <si>
    <t>游亮</t>
  </si>
  <si>
    <t>10.27新入职</t>
  </si>
  <si>
    <t>高翔</t>
  </si>
  <si>
    <t>业务二部</t>
  </si>
  <si>
    <t>刘传校</t>
  </si>
  <si>
    <t>胡灿</t>
  </si>
  <si>
    <t>陪产假</t>
  </si>
  <si>
    <t>事假0.48H</t>
  </si>
  <si>
    <t>事假5H</t>
  </si>
  <si>
    <t>事假0.5H</t>
  </si>
  <si>
    <t>陪产假6天</t>
  </si>
  <si>
    <t>林伟民</t>
  </si>
  <si>
    <t>朱驰</t>
  </si>
  <si>
    <t>营销管理部</t>
  </si>
  <si>
    <t>刘晶</t>
  </si>
  <si>
    <t>陈晓红</t>
  </si>
  <si>
    <t>冯馨</t>
  </si>
  <si>
    <t>刘晓敏</t>
  </si>
  <si>
    <t>李彤</t>
  </si>
  <si>
    <t>袁勇</t>
  </si>
  <si>
    <t>营销二中心</t>
  </si>
  <si>
    <t>尹斌斌</t>
  </si>
  <si>
    <t>温建华</t>
  </si>
  <si>
    <t>营销三中心</t>
  </si>
  <si>
    <t>蔡建梅</t>
  </si>
  <si>
    <t>刘翠峰</t>
  </si>
  <si>
    <t>陈慰坚</t>
  </si>
  <si>
    <t>调休1H</t>
  </si>
  <si>
    <t>调休0.13天，详见联络单</t>
  </si>
  <si>
    <t>张兴强</t>
  </si>
  <si>
    <t>10.30离职</t>
  </si>
  <si>
    <t>刘春燕</t>
  </si>
  <si>
    <t>李意红</t>
  </si>
  <si>
    <t>10.9新入职，10.22离职</t>
  </si>
  <si>
    <t>林少跃</t>
  </si>
  <si>
    <t>营销四中心</t>
  </si>
  <si>
    <t>王锐</t>
  </si>
  <si>
    <t>事假4H</t>
  </si>
  <si>
    <t>病假0.5天</t>
  </si>
  <si>
    <t>谭凯萍</t>
  </si>
  <si>
    <t>米春雨</t>
  </si>
  <si>
    <t>营销五中心</t>
  </si>
  <si>
    <t>赵乾安</t>
  </si>
  <si>
    <t>雷保平</t>
  </si>
  <si>
    <t>肖柳</t>
  </si>
  <si>
    <t>调休8H</t>
  </si>
  <si>
    <t>调休1天，详见联络单</t>
  </si>
  <si>
    <t>潘苞包</t>
  </si>
  <si>
    <t>邹婷</t>
  </si>
  <si>
    <t>王燕珍</t>
  </si>
  <si>
    <t>产品中心</t>
  </si>
  <si>
    <t>陶鹏飞</t>
  </si>
  <si>
    <t>陈勇</t>
  </si>
  <si>
    <t>刘芸</t>
  </si>
  <si>
    <t>旷慕蓉</t>
  </si>
  <si>
    <t>市场部</t>
  </si>
  <si>
    <t>谭佩雯</t>
  </si>
  <si>
    <t>事假6.5H</t>
  </si>
  <si>
    <t>陈海明</t>
  </si>
  <si>
    <t>客户服务部</t>
  </si>
  <si>
    <t>曾雅芳</t>
  </si>
  <si>
    <t>何嘉耀</t>
  </si>
  <si>
    <t>李默晗</t>
  </si>
  <si>
    <t>10.9新入职</t>
  </si>
  <si>
    <t>陈建华</t>
  </si>
  <si>
    <t>电子电器事业部</t>
  </si>
  <si>
    <t>李勇</t>
  </si>
  <si>
    <t>连平</t>
  </si>
  <si>
    <t>朱家荣</t>
  </si>
  <si>
    <t>网络安全实验室</t>
  </si>
  <si>
    <t>殷文江</t>
  </si>
  <si>
    <t>曾得才</t>
  </si>
  <si>
    <t>余丽花</t>
  </si>
  <si>
    <t>电磁兼容实验室</t>
  </si>
  <si>
    <t>李文海</t>
  </si>
  <si>
    <t>邓美梅</t>
  </si>
  <si>
    <t>调休0.5H</t>
  </si>
  <si>
    <t>调休3H</t>
  </si>
  <si>
    <t>谢雅欣</t>
  </si>
  <si>
    <t>蓝郭盛</t>
  </si>
  <si>
    <t>曹梨梨</t>
  </si>
  <si>
    <t>事假3H</t>
  </si>
  <si>
    <t>秦京龙</t>
  </si>
  <si>
    <t>陈澄</t>
  </si>
  <si>
    <t>谭小龙</t>
  </si>
  <si>
    <t>王明</t>
  </si>
  <si>
    <t>孙豪强</t>
  </si>
  <si>
    <t>蔡其恩</t>
  </si>
  <si>
    <t>曹永辉</t>
  </si>
  <si>
    <t>林浩贤</t>
  </si>
  <si>
    <t>刘汝鑫</t>
  </si>
  <si>
    <t>调休2H</t>
  </si>
  <si>
    <t>调休0.25天，详见联络单</t>
  </si>
  <si>
    <t>钱祝圆</t>
  </si>
  <si>
    <t>事假2H</t>
  </si>
  <si>
    <t>事假1.5H</t>
  </si>
  <si>
    <t>师文锋</t>
  </si>
  <si>
    <t>电气安全实验室</t>
  </si>
  <si>
    <t>邓开芳</t>
  </si>
  <si>
    <t>常娇靓</t>
  </si>
  <si>
    <t>张曼云</t>
  </si>
  <si>
    <t>张永祥</t>
  </si>
  <si>
    <t>韦莹娟</t>
  </si>
  <si>
    <t>事假1.27H</t>
  </si>
  <si>
    <t>其中病假4天</t>
  </si>
  <si>
    <t>董圆</t>
  </si>
  <si>
    <t>刘英泉</t>
  </si>
  <si>
    <t>李恒安</t>
  </si>
  <si>
    <t>黄俊博</t>
  </si>
  <si>
    <t>尹相臣</t>
  </si>
  <si>
    <t>金彭杰</t>
  </si>
  <si>
    <t>张兵</t>
  </si>
  <si>
    <t>调休3.38天，详见联络单</t>
  </si>
  <si>
    <t>李松欢</t>
  </si>
  <si>
    <t>林玮灏</t>
  </si>
  <si>
    <t>吴佳俊</t>
  </si>
  <si>
    <t>崔邱扬</t>
  </si>
  <si>
    <t>电池实验室</t>
  </si>
  <si>
    <t>韦乾梨</t>
  </si>
  <si>
    <t>徐静怡</t>
  </si>
  <si>
    <t>安全实验室实验室</t>
  </si>
  <si>
    <t>覃小莉</t>
  </si>
  <si>
    <t>化学实验室</t>
  </si>
  <si>
    <t>陈昌凯</t>
  </si>
  <si>
    <t>黄明礼</t>
  </si>
  <si>
    <t>王志鸿</t>
  </si>
  <si>
    <t>陆丽婷</t>
  </si>
  <si>
    <t>王彬</t>
  </si>
  <si>
    <t>李冬瑞</t>
  </si>
  <si>
    <t>杨园</t>
  </si>
  <si>
    <t>项目部</t>
  </si>
  <si>
    <t>方丽琼</t>
  </si>
  <si>
    <t>黄秋霞</t>
  </si>
  <si>
    <t>宋春君</t>
  </si>
  <si>
    <t>粟学庆</t>
  </si>
  <si>
    <t>农佳欣</t>
  </si>
  <si>
    <t>婚假</t>
  </si>
  <si>
    <t>婚假3天</t>
  </si>
  <si>
    <t>熊梦秋</t>
  </si>
  <si>
    <t>陈霞</t>
  </si>
  <si>
    <t>韦柳艳</t>
  </si>
  <si>
    <t>方凯丰</t>
  </si>
  <si>
    <t>吴可雨</t>
  </si>
  <si>
    <t>事假1H</t>
  </si>
  <si>
    <t>事假0.75H</t>
  </si>
  <si>
    <t>黄子茵</t>
  </si>
  <si>
    <t>事假0.88H</t>
  </si>
  <si>
    <t>裴宇宇</t>
  </si>
  <si>
    <t>黄家鑫</t>
  </si>
  <si>
    <t>梁星星</t>
  </si>
  <si>
    <t>QI实验室</t>
  </si>
  <si>
    <t>车庆发</t>
  </si>
  <si>
    <t>韦罗恒</t>
  </si>
  <si>
    <t>洪余烨</t>
  </si>
  <si>
    <t>徐承</t>
  </si>
  <si>
    <t>李国安</t>
  </si>
  <si>
    <t>曾阳</t>
  </si>
  <si>
    <t>罗景文</t>
  </si>
  <si>
    <t>戴宇航</t>
  </si>
  <si>
    <t>李建皓</t>
  </si>
  <si>
    <t>林智锐</t>
  </si>
  <si>
    <t>毛崯至</t>
  </si>
  <si>
    <t>袁小鹏</t>
  </si>
  <si>
    <t>李升</t>
  </si>
  <si>
    <t>MFi实验室</t>
  </si>
  <si>
    <t>幸聪</t>
  </si>
  <si>
    <t>车联网实验室</t>
  </si>
  <si>
    <t>黄倩婷</t>
  </si>
  <si>
    <t>年假</t>
  </si>
  <si>
    <t>马恒</t>
  </si>
  <si>
    <t>迟到40分钟，按1小时请假处理</t>
  </si>
  <si>
    <t>黄泓凯</t>
  </si>
  <si>
    <t>陈浩铭</t>
  </si>
  <si>
    <t>李壮凌</t>
  </si>
  <si>
    <t>廖子江</t>
  </si>
  <si>
    <t>杨俊华</t>
  </si>
  <si>
    <t>皇雨沛</t>
  </si>
  <si>
    <t>汪思源</t>
  </si>
  <si>
    <t>徐海龙</t>
  </si>
  <si>
    <t>陈升涛</t>
  </si>
  <si>
    <t>陈家宝</t>
  </si>
  <si>
    <t>韦勤祖</t>
  </si>
  <si>
    <t>谢地福</t>
  </si>
  <si>
    <t>徐榕忠</t>
  </si>
  <si>
    <t>林志杰</t>
  </si>
  <si>
    <t>李振滔</t>
  </si>
  <si>
    <t>陈利平</t>
  </si>
  <si>
    <t>余浪</t>
  </si>
  <si>
    <t>高伟闯</t>
  </si>
  <si>
    <t>傅强原</t>
  </si>
  <si>
    <t>陈洋</t>
  </si>
  <si>
    <t>喻俊贤</t>
  </si>
  <si>
    <t>车联实验室</t>
  </si>
  <si>
    <t>伍国辉</t>
  </si>
  <si>
    <t>10.31离职</t>
  </si>
  <si>
    <t>蒋昊</t>
  </si>
  <si>
    <t>10.23新入职</t>
  </si>
  <si>
    <t>蔡松均</t>
  </si>
  <si>
    <t>ITU实验室</t>
  </si>
  <si>
    <t>冯行威</t>
  </si>
  <si>
    <t>覃明</t>
  </si>
  <si>
    <t>胡新宇</t>
  </si>
  <si>
    <t>金俊志</t>
  </si>
  <si>
    <t>上海实验室</t>
  </si>
  <si>
    <t>调休1天，详见联络单   病假1.25天</t>
  </si>
  <si>
    <t>甘惠源</t>
  </si>
  <si>
    <t>姜义锁</t>
  </si>
  <si>
    <t>上海销售</t>
  </si>
  <si>
    <t>温振豪</t>
  </si>
  <si>
    <t>侯兵</t>
  </si>
  <si>
    <t>韦秀铭</t>
  </si>
  <si>
    <t>朱琪</t>
  </si>
  <si>
    <t>李佳婷</t>
  </si>
  <si>
    <t>蔡婵淇</t>
  </si>
  <si>
    <t>李辰婧</t>
  </si>
  <si>
    <t>陈腾辉</t>
  </si>
  <si>
    <t>李源源</t>
  </si>
  <si>
    <t>10.24新入职</t>
  </si>
  <si>
    <t>肖宇斌</t>
  </si>
  <si>
    <t>邬浩钧</t>
  </si>
  <si>
    <t>黄甜</t>
  </si>
  <si>
    <t>质量部</t>
  </si>
  <si>
    <t>陆植彭</t>
  </si>
  <si>
    <t>陈金如</t>
  </si>
  <si>
    <t>刘茜</t>
  </si>
  <si>
    <t>调休2.5H</t>
  </si>
  <si>
    <t>调休1.31天，详见联络单</t>
  </si>
  <si>
    <t>谢琼歆</t>
  </si>
  <si>
    <t>财务部</t>
  </si>
  <si>
    <t>闫瑞芬</t>
  </si>
  <si>
    <t>蒋渊杰</t>
  </si>
  <si>
    <t>黄丽</t>
  </si>
  <si>
    <t>人力资源部</t>
  </si>
  <si>
    <t>邓惠香</t>
  </si>
  <si>
    <t>黄凤绚</t>
  </si>
  <si>
    <t>胡榕玲</t>
  </si>
  <si>
    <t>陈亚川</t>
  </si>
  <si>
    <t>调休0.88天，详见联络单</t>
  </si>
  <si>
    <t>徐鹏</t>
  </si>
  <si>
    <t>肖玲玲</t>
  </si>
  <si>
    <t>罗友芬</t>
  </si>
  <si>
    <t>金姑</t>
  </si>
  <si>
    <t>贾廷亚</t>
  </si>
  <si>
    <t>李卡</t>
  </si>
  <si>
    <t>张宏</t>
  </si>
  <si>
    <t>总经办</t>
  </si>
  <si>
    <t>薛晓栋</t>
  </si>
  <si>
    <t>李佳娟</t>
  </si>
  <si>
    <t>编制： 肖玲玲                          审查：                                        审核：</t>
  </si>
  <si>
    <t>事假</t>
  </si>
  <si>
    <t>调休</t>
  </si>
  <si>
    <t>总人数</t>
  </si>
  <si>
    <t>在职</t>
  </si>
  <si>
    <t>含张宏</t>
  </si>
  <si>
    <t>离职</t>
  </si>
  <si>
    <t>入职</t>
  </si>
  <si>
    <t xml:space="preserve">                   2026年5月 Microtest考勤统计表      （出勤19天 法定2天  休10天 ）</t>
  </si>
  <si>
    <t>产假（天）</t>
  </si>
  <si>
    <t>其他</t>
  </si>
  <si>
    <t>调休1.06天，详见联络单</t>
  </si>
  <si>
    <t>罗欣欣</t>
  </si>
  <si>
    <t>曹逸豪</t>
  </si>
  <si>
    <t>5.11新入职</t>
  </si>
  <si>
    <t>事假1.87H</t>
  </si>
  <si>
    <t>事假3.48H</t>
  </si>
  <si>
    <t>安容妮</t>
  </si>
  <si>
    <t>年假1天</t>
  </si>
  <si>
    <t>休年假1天</t>
  </si>
  <si>
    <t>调休4.5H</t>
  </si>
  <si>
    <t>调休0.56天，详见联络单</t>
  </si>
  <si>
    <t>事假3.98H</t>
  </si>
  <si>
    <t>方腾飞</t>
  </si>
  <si>
    <t>5.11入职，5.12自离</t>
  </si>
  <si>
    <t>武更霖</t>
  </si>
  <si>
    <t>5.8新入职</t>
  </si>
  <si>
    <t>程良德</t>
  </si>
  <si>
    <t>5.26离职</t>
  </si>
  <si>
    <t>赖仕文</t>
  </si>
  <si>
    <t>事假3.5H</t>
  </si>
  <si>
    <t>贺欣文</t>
  </si>
  <si>
    <t>齐学良</t>
  </si>
  <si>
    <t>陈金珍</t>
  </si>
  <si>
    <t>李宜君</t>
  </si>
  <si>
    <t>5.6新入职</t>
  </si>
  <si>
    <t>渠道拓展中心</t>
  </si>
  <si>
    <t>调休1H     请假7H</t>
  </si>
  <si>
    <t>检测中心</t>
  </si>
  <si>
    <t>邹沛言</t>
  </si>
  <si>
    <t>彭馨仪</t>
  </si>
  <si>
    <t>张树新</t>
  </si>
  <si>
    <t>电磁兼容部</t>
  </si>
  <si>
    <t>调休6H</t>
  </si>
  <si>
    <t>调休1.75天，详见联络单</t>
  </si>
  <si>
    <t>产假</t>
  </si>
  <si>
    <t>事假0.97H</t>
  </si>
  <si>
    <t>休年假1天，6.7开始上班</t>
  </si>
  <si>
    <t>调休1.5H</t>
  </si>
  <si>
    <t>调休0.75天，详见联络单</t>
  </si>
  <si>
    <t>调休0.63天，详见联络单</t>
  </si>
  <si>
    <t>中班</t>
  </si>
  <si>
    <t>调休0.19天，详见联络单</t>
  </si>
  <si>
    <t>董会会</t>
  </si>
  <si>
    <t>杨钧兰</t>
  </si>
  <si>
    <t>安全实验室</t>
  </si>
  <si>
    <t>调休4H</t>
  </si>
  <si>
    <t>调休0.5天，详见联络单</t>
  </si>
  <si>
    <t>调休4天，详见联络单</t>
  </si>
  <si>
    <t>林小莉</t>
  </si>
  <si>
    <t>事假4.5H</t>
  </si>
  <si>
    <t>黎凡</t>
  </si>
  <si>
    <t>付方成</t>
  </si>
  <si>
    <t>覃宇</t>
  </si>
  <si>
    <t>徐苑芯</t>
  </si>
  <si>
    <t>陈怡</t>
  </si>
  <si>
    <t>孙存浩</t>
  </si>
  <si>
    <t>5.18新入职</t>
  </si>
  <si>
    <t>5.8离职</t>
  </si>
  <si>
    <t>刘俊杰</t>
  </si>
  <si>
    <t>调休1天，详见联络单   5.29离职</t>
  </si>
  <si>
    <t>吴卓莹</t>
  </si>
  <si>
    <t>郑文均</t>
  </si>
  <si>
    <t>调休0.33H</t>
  </si>
  <si>
    <t>调休0.67天，详见联络单</t>
  </si>
  <si>
    <t>调休1.63天，详见联络单</t>
  </si>
  <si>
    <t>毕松玉</t>
  </si>
  <si>
    <t>事假0.08H</t>
  </si>
  <si>
    <t>廖晓娟</t>
  </si>
  <si>
    <t>无线充部</t>
  </si>
  <si>
    <t>5.29离职</t>
  </si>
  <si>
    <t>夜班</t>
  </si>
  <si>
    <t>罗贤镫</t>
  </si>
  <si>
    <t>王俐婷</t>
  </si>
  <si>
    <t>范欢庆</t>
  </si>
  <si>
    <t>5.7新入职</t>
  </si>
  <si>
    <t>刘国初</t>
  </si>
  <si>
    <t>车联部</t>
  </si>
  <si>
    <t>事假2.82H</t>
  </si>
  <si>
    <t>刘文峰</t>
  </si>
  <si>
    <t>张喆</t>
  </si>
  <si>
    <t>张威明</t>
  </si>
  <si>
    <t>王丽</t>
  </si>
  <si>
    <t>叶昌云</t>
  </si>
  <si>
    <t>陈浩东</t>
  </si>
  <si>
    <t>马苗苗</t>
  </si>
  <si>
    <t>5.18新入职，5.20离职</t>
  </si>
  <si>
    <t>谭君</t>
  </si>
  <si>
    <t>杨霞</t>
  </si>
  <si>
    <t>5.21新入职</t>
  </si>
  <si>
    <t>刘嘉宾</t>
  </si>
  <si>
    <t>宁冰冰</t>
  </si>
  <si>
    <t>庄丽婷</t>
  </si>
  <si>
    <t>陈志北</t>
  </si>
  <si>
    <t>5.15离职</t>
  </si>
  <si>
    <t>事假0.03H</t>
  </si>
  <si>
    <t>5.20离职</t>
  </si>
  <si>
    <t>事假6H</t>
  </si>
  <si>
    <t>调休5H</t>
  </si>
  <si>
    <t>调休3.13天，详见联络单</t>
  </si>
  <si>
    <t>萧娟柔</t>
  </si>
  <si>
    <t>调休2.69天，详见联络单   5.27离职</t>
  </si>
  <si>
    <t>李小金</t>
  </si>
  <si>
    <t>2026年5月加班统计表</t>
  </si>
  <si>
    <t xml:space="preserve">        日期
姓名
</t>
  </si>
  <si>
    <t>加班时间</t>
  </si>
  <si>
    <t>标准</t>
  </si>
  <si>
    <t>加班补贴</t>
  </si>
  <si>
    <t>姓名</t>
  </si>
  <si>
    <t>平时加班</t>
  </si>
  <si>
    <t>周末加班</t>
  </si>
  <si>
    <t>法定加班</t>
  </si>
  <si>
    <t>平时验证</t>
  </si>
  <si>
    <t>周末验证</t>
  </si>
  <si>
    <t>法定验证</t>
  </si>
  <si>
    <t>车庆发2</t>
  </si>
  <si>
    <t>戴宇航2</t>
  </si>
  <si>
    <t>洪余烨2</t>
  </si>
  <si>
    <t>李国安2</t>
  </si>
  <si>
    <t>林智锐2</t>
  </si>
  <si>
    <t>罗景文2</t>
  </si>
  <si>
    <t>罗贤镫2</t>
  </si>
  <si>
    <t>袁小鹏2</t>
  </si>
  <si>
    <t>崔邱扬2</t>
  </si>
  <si>
    <t>覃宇2</t>
  </si>
  <si>
    <t>金彭杰2</t>
  </si>
  <si>
    <t>李恒安2</t>
  </si>
  <si>
    <t>付方成2</t>
  </si>
  <si>
    <t>李松欢2</t>
  </si>
  <si>
    <t>林小莉2</t>
  </si>
  <si>
    <t>刘英泉2</t>
  </si>
  <si>
    <t>韦乾梨2</t>
  </si>
  <si>
    <t>吴佳俊2</t>
  </si>
  <si>
    <t>尹相臣2</t>
  </si>
  <si>
    <t>曹永辉2</t>
  </si>
  <si>
    <t>常娇靓2</t>
  </si>
  <si>
    <t>邓开芳2</t>
  </si>
  <si>
    <t>刘汝鑫2</t>
  </si>
  <si>
    <t>钱祝圆2</t>
  </si>
  <si>
    <t>孙豪强2</t>
  </si>
  <si>
    <t>谭小龙2</t>
  </si>
  <si>
    <t>韦莹娟2</t>
  </si>
  <si>
    <t>张曼云2</t>
  </si>
  <si>
    <t>张永祥2</t>
  </si>
  <si>
    <t>杨钧兰2</t>
  </si>
  <si>
    <t>徐承2</t>
  </si>
  <si>
    <t>蔡其恩2</t>
  </si>
  <si>
    <t>黄明礼2</t>
  </si>
  <si>
    <t>王志鸿2</t>
  </si>
  <si>
    <t>吴卓莹2</t>
  </si>
  <si>
    <t>郑文均2</t>
  </si>
  <si>
    <t>蔡松均2</t>
  </si>
  <si>
    <t>冯行威2</t>
  </si>
  <si>
    <t>甘惠源2</t>
  </si>
  <si>
    <t>谭君2</t>
  </si>
  <si>
    <t>谢地福2</t>
  </si>
  <si>
    <t>马恒2</t>
  </si>
  <si>
    <t>陈利平2</t>
  </si>
  <si>
    <t>高伟闯2</t>
  </si>
  <si>
    <t>李振滔2</t>
  </si>
  <si>
    <t>徐榕忠2</t>
  </si>
  <si>
    <t>张喆2</t>
  </si>
  <si>
    <t>陈洋2</t>
  </si>
  <si>
    <t>张威明2</t>
  </si>
  <si>
    <t>陈浩东2</t>
  </si>
  <si>
    <t xml:space="preserve">  编制： 肖玲玲                                                                审核：</t>
  </si>
  <si>
    <t>2026年5月中夜班补贴统计表</t>
  </si>
  <si>
    <t xml:space="preserve">         姓名
     班次
</t>
  </si>
  <si>
    <t>合计天数</t>
  </si>
  <si>
    <t>合计补贴</t>
  </si>
  <si>
    <t>总计</t>
  </si>
  <si>
    <t xml:space="preserve">  编制：肖玲玲                                                          审核：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</si>
</sst>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/d"/>
    <numFmt numFmtId="177" formatCode="0.00_ "/>
    <numFmt numFmtId="178" formatCode="m/d;@"/>
    <numFmt numFmtId="179" formatCode="#,##0.0_ "/>
    <numFmt numFmtId="180" formatCode="0_ "/>
    <numFmt numFmtId="181" formatCode="0.0_ "/>
    <numFmt numFmtId="182" formatCode="d&quot;A&quot;"/>
  </numFmts>
  <fonts count="59">
    <font>
      <sz val="11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b/>
      <sz val="28"/>
      <color theme="1"/>
      <name val="宋体"/>
      <charset val="134"/>
      <scheme val="minor"/>
    </font>
    <font>
      <sz val="18"/>
      <color rgb="FF000000"/>
      <name val="宋体"/>
      <charset val="134"/>
    </font>
    <font>
      <sz val="18"/>
      <color theme="1"/>
      <name val="宋体"/>
      <charset val="134"/>
      <scheme val="minor"/>
    </font>
    <font>
      <sz val="10.5"/>
      <color rgb="FF000000"/>
      <name val="Helvetica"/>
      <charset val="134"/>
    </font>
    <font>
      <sz val="9"/>
      <name val="宋体"/>
      <charset val="134"/>
    </font>
    <font>
      <sz val="10"/>
      <name val="宋体"/>
      <charset val="134"/>
    </font>
    <font>
      <sz val="14"/>
      <name val="宋体"/>
      <charset val="134"/>
    </font>
    <font>
      <sz val="18"/>
      <name val="宋体"/>
      <charset val="134"/>
    </font>
    <font>
      <sz val="12"/>
      <color theme="1"/>
      <name val="宋体"/>
      <charset val="134"/>
    </font>
    <font>
      <sz val="16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2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22"/>
      <color theme="1"/>
      <name val="宋体"/>
      <charset val="134"/>
      <scheme val="minor"/>
    </font>
    <font>
      <sz val="12"/>
      <color indexed="8"/>
      <name val="宋体"/>
      <charset val="134"/>
    </font>
    <font>
      <sz val="14"/>
      <name val="宋体"/>
      <charset val="134"/>
      <scheme val="minor"/>
    </font>
    <font>
      <sz val="12"/>
      <name val="宋体"/>
      <charset val="134"/>
    </font>
    <font>
      <sz val="12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4"/>
      <color rgb="FF171A1D"/>
      <name val="宋体"/>
      <charset val="134"/>
    </font>
    <font>
      <sz val="10"/>
      <color theme="1"/>
      <name val="宋体"/>
      <charset val="134"/>
      <scheme val="minor"/>
    </font>
    <font>
      <sz val="16"/>
      <name val="宋体"/>
      <charset val="134"/>
    </font>
    <font>
      <sz val="10"/>
      <color rgb="FF000000"/>
      <name val="微软雅黑"/>
      <charset val="134"/>
    </font>
    <font>
      <sz val="10"/>
      <color indexed="8"/>
      <name val="宋体"/>
      <charset val="134"/>
    </font>
    <font>
      <sz val="11"/>
      <name val="宋体"/>
      <charset val="134"/>
    </font>
    <font>
      <sz val="9"/>
      <color rgb="FF000000"/>
      <name val="宋体"/>
      <charset val="134"/>
    </font>
    <font>
      <sz val="10"/>
      <color rgb="FF000000"/>
      <name val="宋体"/>
      <charset val="134"/>
    </font>
    <font>
      <sz val="10"/>
      <color theme="1"/>
      <name val="宋体"/>
      <charset val="134"/>
    </font>
    <font>
      <sz val="11"/>
      <color rgb="FFFF0000"/>
      <name val="宋体"/>
      <charset val="134"/>
      <scheme val="minor"/>
    </font>
    <font>
      <sz val="10"/>
      <name val="宋体"/>
      <charset val="134"/>
      <scheme val="minor"/>
    </font>
    <font>
      <sz val="11"/>
      <name val="宋体"/>
      <charset val="134"/>
      <scheme val="minor"/>
    </font>
    <font>
      <sz val="8"/>
      <color theme="1"/>
      <name val="宋体"/>
      <charset val="134"/>
    </font>
    <font>
      <sz val="10"/>
      <color theme="3"/>
      <name val="宋体"/>
      <charset val="134"/>
    </font>
    <font>
      <sz val="9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  <font>
      <sz val="14"/>
      <name val="宋体"/>
      <charset val="134"/>
    </font>
    <font>
      <sz val="10"/>
      <name val="宋体"/>
      <charset val="134"/>
    </font>
  </fonts>
  <fills count="4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0" fillId="14" borderId="8" applyNumberFormat="0" applyFon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42" fillId="0" borderId="9" applyNumberFormat="0" applyFill="0" applyAlignment="0" applyProtection="0">
      <alignment vertical="center"/>
    </xf>
    <xf numFmtId="0" fontId="43" fillId="0" borderId="10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15" borderId="11" applyNumberFormat="0" applyAlignment="0" applyProtection="0">
      <alignment vertical="center"/>
    </xf>
    <xf numFmtId="0" fontId="45" fillId="16" borderId="12" applyNumberFormat="0" applyAlignment="0" applyProtection="0">
      <alignment vertical="center"/>
    </xf>
    <xf numFmtId="0" fontId="46" fillId="16" borderId="11" applyNumberFormat="0" applyAlignment="0" applyProtection="0">
      <alignment vertical="center"/>
    </xf>
    <xf numFmtId="0" fontId="47" fillId="17" borderId="13" applyNumberFormat="0" applyAlignment="0" applyProtection="0">
      <alignment vertical="center"/>
    </xf>
    <xf numFmtId="0" fontId="48" fillId="0" borderId="14" applyNumberFormat="0" applyFill="0" applyAlignment="0" applyProtection="0">
      <alignment vertical="center"/>
    </xf>
    <xf numFmtId="0" fontId="49" fillId="0" borderId="15" applyNumberFormat="0" applyFill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4" fillId="21" borderId="0" applyNumberFormat="0" applyBorder="0" applyAlignment="0" applyProtection="0">
      <alignment vertical="center"/>
    </xf>
    <xf numFmtId="0" fontId="54" fillId="22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6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4" fillId="29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4" fillId="33" borderId="0" applyNumberFormat="0" applyBorder="0" applyAlignment="0" applyProtection="0">
      <alignment vertical="center"/>
    </xf>
    <xf numFmtId="0" fontId="54" fillId="34" borderId="0" applyNumberFormat="0" applyBorder="0" applyAlignment="0" applyProtection="0">
      <alignment vertical="center"/>
    </xf>
    <xf numFmtId="0" fontId="53" fillId="35" borderId="0" applyNumberFormat="0" applyBorder="0" applyAlignment="0" applyProtection="0">
      <alignment vertical="center"/>
    </xf>
    <xf numFmtId="0" fontId="53" fillId="36" borderId="0" applyNumberFormat="0" applyBorder="0" applyAlignment="0" applyProtection="0">
      <alignment vertical="center"/>
    </xf>
    <xf numFmtId="0" fontId="54" fillId="37" borderId="0" applyNumberFormat="0" applyBorder="0" applyAlignment="0" applyProtection="0">
      <alignment vertical="center"/>
    </xf>
    <xf numFmtId="0" fontId="54" fillId="38" borderId="0" applyNumberFormat="0" applyBorder="0" applyAlignment="0" applyProtection="0">
      <alignment vertical="center"/>
    </xf>
    <xf numFmtId="0" fontId="53" fillId="39" borderId="0" applyNumberFormat="0" applyBorder="0" applyAlignment="0" applyProtection="0">
      <alignment vertical="center"/>
    </xf>
    <xf numFmtId="0" fontId="53" fillId="40" borderId="0" applyNumberFormat="0" applyBorder="0" applyAlignment="0" applyProtection="0">
      <alignment vertical="center"/>
    </xf>
    <xf numFmtId="0" fontId="54" fillId="41" borderId="0" applyNumberFormat="0" applyBorder="0" applyAlignment="0" applyProtection="0">
      <alignment vertical="center"/>
    </xf>
    <xf numFmtId="0" fontId="54" fillId="42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18" fillId="0" borderId="0">
      <alignment vertical="center"/>
    </xf>
  </cellStyleXfs>
  <cellXfs count="135">
    <xf numFmtId="0" fontId="0" fillId="0" borderId="0" xfId="0">
      <alignment vertical="center"/>
    </xf>
    <xf numFmtId="0" fontId="0" fillId="2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176" fontId="4" fillId="3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176" fontId="4" fillId="0" borderId="1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Fill="1" applyBorder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>
      <alignment vertical="center"/>
    </xf>
    <xf numFmtId="0" fontId="1" fillId="0" borderId="0" xfId="0" applyFont="1" applyFill="1">
      <alignment vertical="center"/>
    </xf>
    <xf numFmtId="0" fontId="0" fillId="0" borderId="0" xfId="0" applyAlignment="1">
      <alignment vertical="center" wrapText="1"/>
    </xf>
    <xf numFmtId="0" fontId="10" fillId="0" borderId="0" xfId="0" applyFont="1" applyAlignment="1">
      <alignment horizontal="left" vertical="center" indent="2"/>
    </xf>
    <xf numFmtId="0" fontId="11" fillId="0" borderId="0" xfId="0" applyFont="1" applyFill="1" applyAlignment="1">
      <alignment horizontal="center" vertical="center"/>
    </xf>
    <xf numFmtId="0" fontId="12" fillId="0" borderId="0" xfId="0" applyFont="1" applyAlignment="1">
      <alignment horizontal="left" vertical="center" indent="2"/>
    </xf>
    <xf numFmtId="0" fontId="12" fillId="0" borderId="0" xfId="0" applyFont="1" applyAlignment="1">
      <alignment horizontal="justify" vertical="center"/>
    </xf>
    <xf numFmtId="0" fontId="0" fillId="2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0" fontId="14" fillId="0" borderId="0" xfId="0" applyFont="1">
      <alignment vertical="center"/>
    </xf>
    <xf numFmtId="0" fontId="14" fillId="0" borderId="0" xfId="0" applyFon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4" fillId="2" borderId="0" xfId="0" applyFont="1" applyFill="1" applyBorder="1" applyAlignment="1">
      <alignment horizontal="center" vertical="center"/>
    </xf>
    <xf numFmtId="177" fontId="0" fillId="2" borderId="0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16" fillId="0" borderId="6" xfId="0" applyFont="1" applyFill="1" applyBorder="1" applyAlignment="1">
      <alignment horizontal="center" vertical="center" wrapText="1"/>
    </xf>
    <xf numFmtId="178" fontId="17" fillId="3" borderId="1" xfId="0" applyNumberFormat="1" applyFont="1" applyFill="1" applyBorder="1" applyAlignment="1">
      <alignment horizontal="center" vertical="center"/>
    </xf>
    <xf numFmtId="178" fontId="17" fillId="0" borderId="1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177" fontId="18" fillId="0" borderId="1" xfId="0" applyNumberFormat="1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17" fillId="0" borderId="5" xfId="0" applyFont="1" applyFill="1" applyBorder="1" applyAlignment="1">
      <alignment horizontal="center" vertical="center"/>
    </xf>
    <xf numFmtId="177" fontId="13" fillId="0" borderId="1" xfId="0" applyNumberFormat="1" applyFont="1" applyFill="1" applyBorder="1" applyAlignment="1">
      <alignment horizontal="center" vertical="center"/>
    </xf>
    <xf numFmtId="179" fontId="13" fillId="0" borderId="1" xfId="0" applyNumberFormat="1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179" fontId="14" fillId="0" borderId="1" xfId="0" applyNumberFormat="1" applyFont="1" applyFill="1" applyBorder="1" applyAlignment="1">
      <alignment horizontal="center" vertical="center"/>
    </xf>
    <xf numFmtId="0" fontId="20" fillId="0" borderId="0" xfId="0" applyFont="1" applyFill="1" applyAlignment="1">
      <alignment horizontal="center" vertical="center" wrapText="1"/>
    </xf>
    <xf numFmtId="0" fontId="19" fillId="0" borderId="0" xfId="0" applyFont="1" applyFill="1" applyAlignment="1">
      <alignment horizontal="center" vertical="center"/>
    </xf>
    <xf numFmtId="0" fontId="14" fillId="0" borderId="5" xfId="0" applyFont="1" applyFill="1" applyBorder="1" applyAlignment="1">
      <alignment horizontal="center" vertical="center"/>
    </xf>
    <xf numFmtId="179" fontId="13" fillId="4" borderId="1" xfId="0" applyNumberFormat="1" applyFont="1" applyFill="1" applyBorder="1" applyAlignment="1">
      <alignment horizontal="center" vertical="center"/>
    </xf>
    <xf numFmtId="179" fontId="14" fillId="4" borderId="1" xfId="0" applyNumberFormat="1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180" fontId="14" fillId="0" borderId="1" xfId="0" applyNumberFormat="1" applyFont="1" applyFill="1" applyBorder="1" applyAlignment="1">
      <alignment horizontal="center" vertical="center"/>
    </xf>
    <xf numFmtId="181" fontId="14" fillId="0" borderId="1" xfId="0" applyNumberFormat="1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179" fontId="13" fillId="0" borderId="0" xfId="0" applyNumberFormat="1" applyFont="1" applyFill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7" fontId="0" fillId="0" borderId="0" xfId="0" applyNumberFormat="1" applyFill="1" applyAlignment="1">
      <alignment horizontal="center" vertical="center"/>
    </xf>
    <xf numFmtId="0" fontId="14" fillId="0" borderId="0" xfId="0" applyFont="1" applyFill="1" applyBorder="1" applyAlignment="1">
      <alignment horizontal="left" vertical="center"/>
    </xf>
    <xf numFmtId="0" fontId="14" fillId="0" borderId="0" xfId="0" applyFont="1" applyFill="1">
      <alignment vertical="center"/>
    </xf>
    <xf numFmtId="177" fontId="14" fillId="0" borderId="0" xfId="0" applyNumberFormat="1" applyFont="1" applyFill="1">
      <alignment vertical="center"/>
    </xf>
    <xf numFmtId="0" fontId="14" fillId="0" borderId="0" xfId="0" applyFont="1" applyFill="1" applyBorder="1">
      <alignment vertical="center"/>
    </xf>
    <xf numFmtId="177" fontId="14" fillId="0" borderId="0" xfId="0" applyNumberFormat="1" applyFont="1">
      <alignment vertical="center"/>
    </xf>
    <xf numFmtId="0" fontId="18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22" fillId="0" borderId="0" xfId="0" applyFont="1">
      <alignment vertical="center"/>
    </xf>
    <xf numFmtId="0" fontId="22" fillId="0" borderId="0" xfId="0" applyFont="1" applyFill="1">
      <alignment vertical="center"/>
    </xf>
    <xf numFmtId="0" fontId="0" fillId="0" borderId="0" xfId="0" applyFont="1" applyFill="1" applyAlignment="1">
      <alignment vertical="center" wrapText="1"/>
    </xf>
    <xf numFmtId="0" fontId="23" fillId="0" borderId="0" xfId="0" applyFont="1" applyFill="1" applyAlignment="1">
      <alignment horizontal="center" vertical="center" wrapText="1"/>
    </xf>
    <xf numFmtId="0" fontId="18" fillId="0" borderId="1" xfId="0" applyFont="1" applyFill="1" applyBorder="1" applyAlignment="1" applyProtection="1">
      <alignment wrapText="1"/>
    </xf>
    <xf numFmtId="0" fontId="7" fillId="0" borderId="1" xfId="0" applyFont="1" applyFill="1" applyBorder="1" applyAlignment="1" applyProtection="1">
      <alignment wrapText="1"/>
    </xf>
    <xf numFmtId="182" fontId="24" fillId="5" borderId="1" xfId="0" applyNumberFormat="1" applyFont="1" applyFill="1" applyBorder="1" applyAlignment="1">
      <alignment horizontal="center" vertical="center" wrapText="1"/>
    </xf>
    <xf numFmtId="0" fontId="25" fillId="0" borderId="3" xfId="0" applyNumberFormat="1" applyFont="1" applyFill="1" applyBorder="1" applyAlignment="1" applyProtection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16" fillId="6" borderId="1" xfId="0" applyNumberFormat="1" applyFont="1" applyFill="1" applyBorder="1" applyAlignment="1" applyProtection="1">
      <alignment horizontal="center" vertical="center" wrapText="1"/>
    </xf>
    <xf numFmtId="0" fontId="25" fillId="0" borderId="7" xfId="0" applyNumberFormat="1" applyFont="1" applyFill="1" applyBorder="1" applyAlignment="1" applyProtection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2" fillId="7" borderId="1" xfId="0" applyFont="1" applyFill="1" applyBorder="1" applyAlignment="1">
      <alignment horizontal="center" vertical="center" wrapText="1"/>
    </xf>
    <xf numFmtId="0" fontId="29" fillId="8" borderId="1" xfId="0" applyFont="1" applyFill="1" applyBorder="1" applyAlignment="1">
      <alignment horizontal="center" vertical="center" wrapText="1"/>
    </xf>
    <xf numFmtId="0" fontId="29" fillId="9" borderId="1" xfId="0" applyFont="1" applyFill="1" applyBorder="1" applyAlignment="1">
      <alignment horizontal="center" vertical="center" wrapText="1"/>
    </xf>
    <xf numFmtId="0" fontId="29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29" fillId="10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29" fillId="11" borderId="1" xfId="0" applyFont="1" applyFill="1" applyBorder="1" applyAlignment="1">
      <alignment horizontal="center" vertical="center" wrapText="1"/>
    </xf>
    <xf numFmtId="0" fontId="30" fillId="0" borderId="0" xfId="0" applyFont="1">
      <alignment vertical="center"/>
    </xf>
    <xf numFmtId="0" fontId="30" fillId="0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center" wrapText="1"/>
    </xf>
    <xf numFmtId="0" fontId="29" fillId="3" borderId="1" xfId="0" applyFont="1" applyFill="1" applyBorder="1" applyAlignment="1">
      <alignment horizontal="center" vertical="center" wrapText="1"/>
    </xf>
    <xf numFmtId="0" fontId="28" fillId="0" borderId="1" xfId="0" applyFont="1" applyFill="1" applyBorder="1" applyAlignment="1">
      <alignment horizontal="center" vertical="center" wrapText="1"/>
    </xf>
    <xf numFmtId="177" fontId="31" fillId="0" borderId="1" xfId="0" applyNumberFormat="1" applyFont="1" applyFill="1" applyBorder="1" applyAlignment="1">
      <alignment horizontal="center" vertical="center"/>
    </xf>
    <xf numFmtId="0" fontId="28" fillId="12" borderId="1" xfId="0" applyFont="1" applyFill="1" applyBorder="1" applyAlignment="1">
      <alignment horizontal="center" vertical="center" wrapText="1"/>
    </xf>
    <xf numFmtId="0" fontId="32" fillId="0" borderId="1" xfId="0" applyFont="1" applyFill="1" applyBorder="1" applyAlignment="1">
      <alignment horizontal="center" vertical="center" wrapText="1"/>
    </xf>
    <xf numFmtId="0" fontId="27" fillId="0" borderId="0" xfId="0" applyFont="1" applyBorder="1" applyAlignment="1">
      <alignment horizontal="center" vertical="center" wrapText="1"/>
    </xf>
    <xf numFmtId="0" fontId="28" fillId="0" borderId="0" xfId="0" applyFont="1" applyBorder="1" applyAlignment="1">
      <alignment horizontal="center" vertical="center" wrapText="1"/>
    </xf>
    <xf numFmtId="0" fontId="29" fillId="0" borderId="0" xfId="0" applyFont="1" applyFill="1" applyAlignment="1">
      <alignment horizontal="center" vertical="center" wrapText="1"/>
    </xf>
    <xf numFmtId="0" fontId="22" fillId="0" borderId="0" xfId="0" applyFont="1" applyFill="1" applyAlignment="1">
      <alignment horizontal="center" vertical="center" wrapText="1"/>
    </xf>
    <xf numFmtId="0" fontId="33" fillId="0" borderId="0" xfId="0" applyFont="1" applyFill="1" applyBorder="1" applyAlignment="1">
      <alignment horizontal="center" vertical="center" wrapText="1"/>
    </xf>
    <xf numFmtId="0" fontId="31" fillId="0" borderId="0" xfId="0" applyFont="1" applyFill="1" applyBorder="1" applyAlignment="1">
      <alignment horizontal="left" vertical="center"/>
    </xf>
    <xf numFmtId="0" fontId="22" fillId="0" borderId="0" xfId="0" applyFont="1" applyFill="1" applyBorder="1" applyAlignment="1">
      <alignment horizontal="left" vertical="center"/>
    </xf>
    <xf numFmtId="0" fontId="0" fillId="0" borderId="0" xfId="0" applyFont="1" applyFill="1" applyBorder="1" applyAlignment="1">
      <alignment horizontal="left" vertical="center"/>
    </xf>
    <xf numFmtId="0" fontId="22" fillId="0" borderId="0" xfId="0" applyFont="1" applyFill="1" applyBorder="1">
      <alignment vertical="center"/>
    </xf>
    <xf numFmtId="0" fontId="33" fillId="0" borderId="0" xfId="0" applyFont="1" applyFill="1" applyAlignment="1">
      <alignment horizontal="center" vertical="center" wrapText="1"/>
    </xf>
    <xf numFmtId="0" fontId="29" fillId="0" borderId="0" xfId="0" applyFont="1" applyFill="1" applyBorder="1" applyAlignment="1">
      <alignment horizontal="center" vertical="center" wrapText="1"/>
    </xf>
    <xf numFmtId="0" fontId="34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 wrapText="1"/>
    </xf>
    <xf numFmtId="0" fontId="0" fillId="0" borderId="0" xfId="0" applyFont="1" applyFill="1">
      <alignment vertical="center"/>
    </xf>
    <xf numFmtId="0" fontId="0" fillId="0" borderId="0" xfId="0" applyFont="1">
      <alignment vertical="center"/>
    </xf>
    <xf numFmtId="0" fontId="0" fillId="0" borderId="0" xfId="0" applyFont="1" applyFill="1" applyBorder="1" applyAlignment="1">
      <alignment vertical="center" wrapText="1"/>
    </xf>
    <xf numFmtId="0" fontId="29" fillId="13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0" fillId="0" borderId="0" xfId="0" applyFont="1" applyFill="1" applyBorder="1">
      <alignment vertical="center"/>
    </xf>
    <xf numFmtId="0" fontId="33" fillId="8" borderId="1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35" fillId="0" borderId="0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" xfId="49"/>
  </cellStyles>
  <dxfs count="3">
    <dxf>
      <fill>
        <patternFill patternType="solid">
          <bgColor theme="0" tint="-0.1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3669AB"/>
      <color rgb="002D61B7"/>
      <color rgb="0033CCCC"/>
      <color rgb="0051C8CF"/>
      <color rgb="00000000"/>
      <color rgb="000DC6D7"/>
      <color rgb="0070AD47"/>
      <color rgb="00FF0000"/>
      <color rgb="00FFC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3175</xdr:colOff>
      <xdr:row>1</xdr:row>
      <xdr:rowOff>0</xdr:rowOff>
    </xdr:from>
    <xdr:to>
      <xdr:col>2</xdr:col>
      <xdr:colOff>367030</xdr:colOff>
      <xdr:row>3</xdr:row>
      <xdr:rowOff>2540</xdr:rowOff>
    </xdr:to>
    <xdr:cxnSp>
      <xdr:nvCxnSpPr>
        <xdr:cNvPr id="2" name="直接连接符 73"/>
        <xdr:cNvCxnSpPr/>
      </xdr:nvCxnSpPr>
      <xdr:spPr>
        <a:xfrm>
          <a:off x="3175" y="393700"/>
          <a:ext cx="1213485" cy="7899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3175</xdr:colOff>
      <xdr:row>1</xdr:row>
      <xdr:rowOff>38100</xdr:rowOff>
    </xdr:from>
    <xdr:to>
      <xdr:col>1</xdr:col>
      <xdr:colOff>294640</xdr:colOff>
      <xdr:row>2</xdr:row>
      <xdr:rowOff>462280</xdr:rowOff>
    </xdr:to>
    <xdr:cxnSp>
      <xdr:nvCxnSpPr>
        <xdr:cNvPr id="3" name="直接连接符 74"/>
        <xdr:cNvCxnSpPr/>
      </xdr:nvCxnSpPr>
      <xdr:spPr>
        <a:xfrm>
          <a:off x="3175" y="431800"/>
          <a:ext cx="561340" cy="7162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560705</xdr:colOff>
      <xdr:row>2</xdr:row>
      <xdr:rowOff>106045</xdr:rowOff>
    </xdr:from>
    <xdr:to>
      <xdr:col>2</xdr:col>
      <xdr:colOff>492760</xdr:colOff>
      <xdr:row>2</xdr:row>
      <xdr:rowOff>335280</xdr:rowOff>
    </xdr:to>
    <xdr:sp>
      <xdr:nvSpPr>
        <xdr:cNvPr id="4" name="文本框 75"/>
        <xdr:cNvSpPr txBox="1"/>
      </xdr:nvSpPr>
      <xdr:spPr>
        <a:xfrm>
          <a:off x="830580" y="791845"/>
          <a:ext cx="511810" cy="2292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/>
            <a:t>部门</a:t>
          </a:r>
          <a:endParaRPr lang="zh-CN" altLang="en-US" sz="900"/>
        </a:p>
      </xdr:txBody>
    </xdr:sp>
    <xdr:clientData/>
  </xdr:twoCellAnchor>
  <xdr:twoCellAnchor>
    <xdr:from>
      <xdr:col>1</xdr:col>
      <xdr:colOff>142240</xdr:colOff>
      <xdr:row>2</xdr:row>
      <xdr:rowOff>215900</xdr:rowOff>
    </xdr:from>
    <xdr:to>
      <xdr:col>2</xdr:col>
      <xdr:colOff>53975</xdr:colOff>
      <xdr:row>2</xdr:row>
      <xdr:rowOff>435610</xdr:rowOff>
    </xdr:to>
    <xdr:sp>
      <xdr:nvSpPr>
        <xdr:cNvPr id="5" name="文本框 76"/>
        <xdr:cNvSpPr txBox="1"/>
      </xdr:nvSpPr>
      <xdr:spPr>
        <a:xfrm>
          <a:off x="412115" y="901700"/>
          <a:ext cx="491490" cy="2197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/>
            <a:t>姓名</a:t>
          </a:r>
          <a:endParaRPr lang="zh-CN" altLang="en-US" sz="900"/>
        </a:p>
      </xdr:txBody>
    </xdr:sp>
    <xdr:clientData/>
  </xdr:twoCellAnchor>
  <xdr:twoCellAnchor>
    <xdr:from>
      <xdr:col>0</xdr:col>
      <xdr:colOff>635</xdr:colOff>
      <xdr:row>2</xdr:row>
      <xdr:rowOff>208280</xdr:rowOff>
    </xdr:from>
    <xdr:to>
      <xdr:col>1</xdr:col>
      <xdr:colOff>296545</xdr:colOff>
      <xdr:row>2</xdr:row>
      <xdr:rowOff>455930</xdr:rowOff>
    </xdr:to>
    <xdr:sp>
      <xdr:nvSpPr>
        <xdr:cNvPr id="6" name="文本框 77"/>
        <xdr:cNvSpPr txBox="1"/>
      </xdr:nvSpPr>
      <xdr:spPr>
        <a:xfrm>
          <a:off x="635" y="894080"/>
          <a:ext cx="565785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/>
            <a:t>序号</a:t>
          </a:r>
          <a:endParaRPr lang="zh-CN" altLang="en-US" sz="900"/>
        </a:p>
      </xdr:txBody>
    </xdr:sp>
    <xdr:clientData/>
  </xdr:twoCellAnchor>
  <xdr:twoCellAnchor>
    <xdr:from>
      <xdr:col>2</xdr:col>
      <xdr:colOff>39370</xdr:colOff>
      <xdr:row>1</xdr:row>
      <xdr:rowOff>20320</xdr:rowOff>
    </xdr:from>
    <xdr:to>
      <xdr:col>2</xdr:col>
      <xdr:colOff>507365</xdr:colOff>
      <xdr:row>2</xdr:row>
      <xdr:rowOff>48895</xdr:rowOff>
    </xdr:to>
    <xdr:sp>
      <xdr:nvSpPr>
        <xdr:cNvPr id="7" name="文本框 3"/>
        <xdr:cNvSpPr txBox="1"/>
      </xdr:nvSpPr>
      <xdr:spPr>
        <a:xfrm>
          <a:off x="889000" y="414020"/>
          <a:ext cx="467995" cy="3206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/>
            <a:t>日期</a:t>
          </a:r>
          <a:endParaRPr lang="zh-CN" altLang="en-US" sz="900"/>
        </a:p>
      </xdr:txBody>
    </xdr:sp>
    <xdr:clientData/>
  </xdr:twoCellAnchor>
  <xdr:twoCellAnchor>
    <xdr:from>
      <xdr:col>0</xdr:col>
      <xdr:colOff>635</xdr:colOff>
      <xdr:row>1</xdr:row>
      <xdr:rowOff>6350</xdr:rowOff>
    </xdr:from>
    <xdr:to>
      <xdr:col>3</xdr:col>
      <xdr:colOff>8890</xdr:colOff>
      <xdr:row>2</xdr:row>
      <xdr:rowOff>123825</xdr:rowOff>
    </xdr:to>
    <xdr:cxnSp>
      <xdr:nvCxnSpPr>
        <xdr:cNvPr id="8" name="直接连接符 9"/>
        <xdr:cNvCxnSpPr/>
      </xdr:nvCxnSpPr>
      <xdr:spPr>
        <a:xfrm>
          <a:off x="635" y="400050"/>
          <a:ext cx="1619885" cy="4095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3175</xdr:colOff>
      <xdr:row>1</xdr:row>
      <xdr:rowOff>0</xdr:rowOff>
    </xdr:from>
    <xdr:to>
      <xdr:col>2</xdr:col>
      <xdr:colOff>367030</xdr:colOff>
      <xdr:row>3</xdr:row>
      <xdr:rowOff>2540</xdr:rowOff>
    </xdr:to>
    <xdr:cxnSp>
      <xdr:nvCxnSpPr>
        <xdr:cNvPr id="2" name="直接连接符 73"/>
        <xdr:cNvCxnSpPr/>
      </xdr:nvCxnSpPr>
      <xdr:spPr>
        <a:xfrm>
          <a:off x="3175" y="393700"/>
          <a:ext cx="1213485" cy="7899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3175</xdr:colOff>
      <xdr:row>1</xdr:row>
      <xdr:rowOff>38100</xdr:rowOff>
    </xdr:from>
    <xdr:to>
      <xdr:col>1</xdr:col>
      <xdr:colOff>294640</xdr:colOff>
      <xdr:row>2</xdr:row>
      <xdr:rowOff>462280</xdr:rowOff>
    </xdr:to>
    <xdr:cxnSp>
      <xdr:nvCxnSpPr>
        <xdr:cNvPr id="3" name="直接连接符 74"/>
        <xdr:cNvCxnSpPr/>
      </xdr:nvCxnSpPr>
      <xdr:spPr>
        <a:xfrm>
          <a:off x="3175" y="431800"/>
          <a:ext cx="561340" cy="7162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560705</xdr:colOff>
      <xdr:row>2</xdr:row>
      <xdr:rowOff>106045</xdr:rowOff>
    </xdr:from>
    <xdr:to>
      <xdr:col>2</xdr:col>
      <xdr:colOff>492760</xdr:colOff>
      <xdr:row>2</xdr:row>
      <xdr:rowOff>335280</xdr:rowOff>
    </xdr:to>
    <xdr:sp>
      <xdr:nvSpPr>
        <xdr:cNvPr id="4" name="文本框 75"/>
        <xdr:cNvSpPr txBox="1"/>
      </xdr:nvSpPr>
      <xdr:spPr>
        <a:xfrm>
          <a:off x="830580" y="791845"/>
          <a:ext cx="511810" cy="2292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/>
            <a:t>部门</a:t>
          </a:r>
          <a:endParaRPr lang="zh-CN" altLang="en-US" sz="900"/>
        </a:p>
      </xdr:txBody>
    </xdr:sp>
    <xdr:clientData/>
  </xdr:twoCellAnchor>
  <xdr:twoCellAnchor>
    <xdr:from>
      <xdr:col>1</xdr:col>
      <xdr:colOff>142240</xdr:colOff>
      <xdr:row>2</xdr:row>
      <xdr:rowOff>215900</xdr:rowOff>
    </xdr:from>
    <xdr:to>
      <xdr:col>2</xdr:col>
      <xdr:colOff>53975</xdr:colOff>
      <xdr:row>2</xdr:row>
      <xdr:rowOff>435610</xdr:rowOff>
    </xdr:to>
    <xdr:sp>
      <xdr:nvSpPr>
        <xdr:cNvPr id="5" name="文本框 76"/>
        <xdr:cNvSpPr txBox="1"/>
      </xdr:nvSpPr>
      <xdr:spPr>
        <a:xfrm>
          <a:off x="412115" y="901700"/>
          <a:ext cx="491490" cy="2197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/>
            <a:t>姓名</a:t>
          </a:r>
          <a:endParaRPr lang="zh-CN" altLang="en-US" sz="900"/>
        </a:p>
      </xdr:txBody>
    </xdr:sp>
    <xdr:clientData/>
  </xdr:twoCellAnchor>
  <xdr:twoCellAnchor>
    <xdr:from>
      <xdr:col>0</xdr:col>
      <xdr:colOff>635</xdr:colOff>
      <xdr:row>2</xdr:row>
      <xdr:rowOff>208280</xdr:rowOff>
    </xdr:from>
    <xdr:to>
      <xdr:col>1</xdr:col>
      <xdr:colOff>296545</xdr:colOff>
      <xdr:row>2</xdr:row>
      <xdr:rowOff>455930</xdr:rowOff>
    </xdr:to>
    <xdr:sp>
      <xdr:nvSpPr>
        <xdr:cNvPr id="6" name="文本框 77"/>
        <xdr:cNvSpPr txBox="1"/>
      </xdr:nvSpPr>
      <xdr:spPr>
        <a:xfrm>
          <a:off x="635" y="894080"/>
          <a:ext cx="565785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/>
            <a:t>序号</a:t>
          </a:r>
          <a:endParaRPr lang="zh-CN" altLang="en-US" sz="900"/>
        </a:p>
      </xdr:txBody>
    </xdr:sp>
    <xdr:clientData/>
  </xdr:twoCellAnchor>
  <xdr:twoCellAnchor>
    <xdr:from>
      <xdr:col>2</xdr:col>
      <xdr:colOff>39370</xdr:colOff>
      <xdr:row>1</xdr:row>
      <xdr:rowOff>20320</xdr:rowOff>
    </xdr:from>
    <xdr:to>
      <xdr:col>2</xdr:col>
      <xdr:colOff>507365</xdr:colOff>
      <xdr:row>2</xdr:row>
      <xdr:rowOff>48895</xdr:rowOff>
    </xdr:to>
    <xdr:sp>
      <xdr:nvSpPr>
        <xdr:cNvPr id="7" name="文本框 3"/>
        <xdr:cNvSpPr txBox="1"/>
      </xdr:nvSpPr>
      <xdr:spPr>
        <a:xfrm>
          <a:off x="889000" y="414020"/>
          <a:ext cx="467995" cy="3206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/>
            <a:t>日期</a:t>
          </a:r>
          <a:endParaRPr lang="zh-CN" altLang="en-US" sz="900"/>
        </a:p>
      </xdr:txBody>
    </xdr:sp>
    <xdr:clientData/>
  </xdr:twoCellAnchor>
  <xdr:twoCellAnchor>
    <xdr:from>
      <xdr:col>0</xdr:col>
      <xdr:colOff>635</xdr:colOff>
      <xdr:row>1</xdr:row>
      <xdr:rowOff>6350</xdr:rowOff>
    </xdr:from>
    <xdr:to>
      <xdr:col>3</xdr:col>
      <xdr:colOff>8890</xdr:colOff>
      <xdr:row>2</xdr:row>
      <xdr:rowOff>123825</xdr:rowOff>
    </xdr:to>
    <xdr:cxnSp>
      <xdr:nvCxnSpPr>
        <xdr:cNvPr id="8" name="直接连接符 9"/>
        <xdr:cNvCxnSpPr/>
      </xdr:nvCxnSpPr>
      <xdr:spPr>
        <a:xfrm>
          <a:off x="635" y="400050"/>
          <a:ext cx="1848485" cy="4095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1905</xdr:colOff>
      <xdr:row>1</xdr:row>
      <xdr:rowOff>0</xdr:rowOff>
    </xdr:from>
    <xdr:to>
      <xdr:col>0</xdr:col>
      <xdr:colOff>1905</xdr:colOff>
      <xdr:row>1</xdr:row>
      <xdr:rowOff>19050</xdr:rowOff>
    </xdr:to>
    <xdr:cxnSp>
      <xdr:nvCxnSpPr>
        <xdr:cNvPr id="2" name="直接连接符 6"/>
        <xdr:cNvCxnSpPr/>
      </xdr:nvCxnSpPr>
      <xdr:spPr>
        <a:xfrm>
          <a:off x="1905" y="596900"/>
          <a:ext cx="0" cy="190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1905</xdr:colOff>
      <xdr:row>1</xdr:row>
      <xdr:rowOff>0</xdr:rowOff>
    </xdr:from>
    <xdr:to>
      <xdr:col>37</xdr:col>
      <xdr:colOff>1905</xdr:colOff>
      <xdr:row>1</xdr:row>
      <xdr:rowOff>19050</xdr:rowOff>
    </xdr:to>
    <xdr:cxnSp>
      <xdr:nvCxnSpPr>
        <xdr:cNvPr id="4" name="直接连接符 6"/>
        <xdr:cNvCxnSpPr/>
      </xdr:nvCxnSpPr>
      <xdr:spPr>
        <a:xfrm>
          <a:off x="22393910" y="596900"/>
          <a:ext cx="0" cy="190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1905</xdr:colOff>
      <xdr:row>1</xdr:row>
      <xdr:rowOff>0</xdr:rowOff>
    </xdr:from>
    <xdr:to>
      <xdr:col>40</xdr:col>
      <xdr:colOff>1905</xdr:colOff>
      <xdr:row>1</xdr:row>
      <xdr:rowOff>19050</xdr:rowOff>
    </xdr:to>
    <xdr:cxnSp>
      <xdr:nvCxnSpPr>
        <xdr:cNvPr id="6" name="直接连接符 6"/>
        <xdr:cNvCxnSpPr/>
      </xdr:nvCxnSpPr>
      <xdr:spPr>
        <a:xfrm>
          <a:off x="25080595" y="596900"/>
          <a:ext cx="0" cy="190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1905</xdr:colOff>
      <xdr:row>1</xdr:row>
      <xdr:rowOff>0</xdr:rowOff>
    </xdr:from>
    <xdr:to>
      <xdr:col>43</xdr:col>
      <xdr:colOff>1905</xdr:colOff>
      <xdr:row>1</xdr:row>
      <xdr:rowOff>19050</xdr:rowOff>
    </xdr:to>
    <xdr:cxnSp>
      <xdr:nvCxnSpPr>
        <xdr:cNvPr id="14" name="直接连接符 6"/>
        <xdr:cNvCxnSpPr/>
      </xdr:nvCxnSpPr>
      <xdr:spPr>
        <a:xfrm>
          <a:off x="27766645" y="596900"/>
          <a:ext cx="0" cy="190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1905</xdr:colOff>
      <xdr:row>1</xdr:row>
      <xdr:rowOff>0</xdr:rowOff>
    </xdr:from>
    <xdr:to>
      <xdr:col>0</xdr:col>
      <xdr:colOff>1905</xdr:colOff>
      <xdr:row>1</xdr:row>
      <xdr:rowOff>19050</xdr:rowOff>
    </xdr:to>
    <xdr:cxnSp>
      <xdr:nvCxnSpPr>
        <xdr:cNvPr id="2" name="直接连接符 6"/>
        <xdr:cNvCxnSpPr/>
      </xdr:nvCxnSpPr>
      <xdr:spPr>
        <a:xfrm>
          <a:off x="1905" y="622300"/>
          <a:ext cx="0" cy="190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1270</xdr:colOff>
      <xdr:row>1</xdr:row>
      <xdr:rowOff>54610</xdr:rowOff>
    </xdr:from>
    <xdr:to>
      <xdr:col>0</xdr:col>
      <xdr:colOff>866775</xdr:colOff>
      <xdr:row>1</xdr:row>
      <xdr:rowOff>1067435</xdr:rowOff>
    </xdr:to>
    <xdr:cxnSp>
      <xdr:nvCxnSpPr>
        <xdr:cNvPr id="6" name="直接连接符 9"/>
        <xdr:cNvCxnSpPr/>
      </xdr:nvCxnSpPr>
      <xdr:spPr>
        <a:xfrm>
          <a:off x="1270" y="676910"/>
          <a:ext cx="865505" cy="82169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1270</xdr:colOff>
      <xdr:row>1</xdr:row>
      <xdr:rowOff>22225</xdr:rowOff>
    </xdr:from>
    <xdr:to>
      <xdr:col>0</xdr:col>
      <xdr:colOff>22860</xdr:colOff>
      <xdr:row>1</xdr:row>
      <xdr:rowOff>526415</xdr:rowOff>
    </xdr:to>
    <xdr:cxnSp>
      <xdr:nvCxnSpPr>
        <xdr:cNvPr id="7" name="直接连接符 73"/>
        <xdr:cNvCxnSpPr/>
      </xdr:nvCxnSpPr>
      <xdr:spPr>
        <a:xfrm>
          <a:off x="1270" y="644525"/>
          <a:ext cx="21590" cy="50419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62230</xdr:colOff>
      <xdr:row>1</xdr:row>
      <xdr:rowOff>147320</xdr:rowOff>
    </xdr:from>
    <xdr:to>
      <xdr:col>0</xdr:col>
      <xdr:colOff>1096645</xdr:colOff>
      <xdr:row>2</xdr:row>
      <xdr:rowOff>273685</xdr:rowOff>
    </xdr:to>
    <xdr:sp>
      <xdr:nvSpPr>
        <xdr:cNvPr id="8" name="文本框 77"/>
        <xdr:cNvSpPr txBox="1"/>
      </xdr:nvSpPr>
      <xdr:spPr>
        <a:xfrm>
          <a:off x="62230" y="769620"/>
          <a:ext cx="1034415" cy="10026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800"/>
        </a:p>
        <a:p>
          <a:pPr algn="l"/>
          <a:endParaRPr lang="zh-CN" altLang="en-US" sz="800"/>
        </a:p>
        <a:p>
          <a:pPr algn="l"/>
          <a:endParaRPr lang="zh-CN" altLang="en-US" sz="800"/>
        </a:p>
        <a:p>
          <a:pPr algn="l"/>
          <a:r>
            <a:rPr lang="zh-CN" altLang="en-US" sz="1200"/>
            <a:t>日期</a:t>
          </a:r>
          <a:endParaRPr lang="zh-CN" altLang="en-US" sz="1200"/>
        </a:p>
      </xdr:txBody>
    </xdr:sp>
    <xdr:clientData/>
  </xdr:twoCellAnchor>
  <xdr:twoCellAnchor>
    <xdr:from>
      <xdr:col>0</xdr:col>
      <xdr:colOff>635</xdr:colOff>
      <xdr:row>1</xdr:row>
      <xdr:rowOff>22860</xdr:rowOff>
    </xdr:from>
    <xdr:to>
      <xdr:col>0</xdr:col>
      <xdr:colOff>2486025</xdr:colOff>
      <xdr:row>1</xdr:row>
      <xdr:rowOff>390525</xdr:rowOff>
    </xdr:to>
    <xdr:cxnSp>
      <xdr:nvCxnSpPr>
        <xdr:cNvPr id="4" name="直接连接符 3"/>
        <xdr:cNvCxnSpPr/>
      </xdr:nvCxnSpPr>
      <xdr:spPr>
        <a:xfrm>
          <a:off x="635" y="645160"/>
          <a:ext cx="1686560" cy="367665"/>
        </a:xfrm>
        <a:prstGeom prst="line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T248"/>
  <sheetViews>
    <sheetView zoomScale="90" zoomScaleNormal="90" zoomScaleSheetLayoutView="80" workbookViewId="0">
      <pane xSplit="3" ySplit="3" topLeftCell="J8" activePane="bottomRight" state="frozen"/>
      <selection/>
      <selection pane="topRight"/>
      <selection pane="bottomLeft"/>
      <selection pane="bottomRight" activeCell="AO32" sqref="AO32"/>
    </sheetView>
  </sheetViews>
  <sheetFormatPr defaultColWidth="9" defaultRowHeight="14.25"/>
  <cols>
    <col min="1" max="1" width="3.54166666666667" style="79" customWidth="1"/>
    <col min="2" max="2" width="7.60833333333333" style="80" customWidth="1"/>
    <col min="3" max="3" width="10" style="80" customWidth="1"/>
    <col min="4" max="4" width="6.10833333333333" style="81" customWidth="1"/>
    <col min="5" max="11" width="5.63333333333333" style="82" customWidth="1"/>
    <col min="12" max="12" width="5" style="82" customWidth="1"/>
    <col min="13" max="35" width="5.41666666666667" style="82" customWidth="1"/>
    <col min="36" max="36" width="6.525" style="82" customWidth="1"/>
    <col min="37" max="37" width="5.41666666666667" style="82" customWidth="1"/>
    <col min="38" max="38" width="6.8" style="82" customWidth="1"/>
    <col min="39" max="39" width="13.75" style="82" customWidth="1"/>
    <col min="40" max="43" width="7.64166666666667" style="82" customWidth="1"/>
    <col min="44" max="44" width="8.475" style="82" customWidth="1"/>
    <col min="45" max="45" width="6.94166666666667" style="82" customWidth="1"/>
    <col min="46" max="46" width="22.7666666666667" style="83" customWidth="1"/>
  </cols>
  <sheetData>
    <row r="1" ht="31" customHeight="1" spans="1:46">
      <c r="A1" s="84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84"/>
      <c r="AQ1" s="84"/>
      <c r="AR1" s="84"/>
      <c r="AS1" s="84"/>
      <c r="AT1" s="84"/>
    </row>
    <row r="2" ht="23" customHeight="1" spans="1:46">
      <c r="A2" s="85" t="s">
        <v>1</v>
      </c>
      <c r="B2" s="86"/>
      <c r="C2" s="86"/>
      <c r="D2" s="87">
        <v>44409</v>
      </c>
      <c r="E2" s="87">
        <v>44410</v>
      </c>
      <c r="F2" s="87">
        <v>44411</v>
      </c>
      <c r="G2" s="87">
        <v>44412</v>
      </c>
      <c r="H2" s="87">
        <v>44413</v>
      </c>
      <c r="I2" s="87">
        <v>44414</v>
      </c>
      <c r="J2" s="87">
        <v>44415</v>
      </c>
      <c r="K2" s="87">
        <v>44416</v>
      </c>
      <c r="L2" s="87">
        <v>44417</v>
      </c>
      <c r="M2" s="87">
        <v>44418</v>
      </c>
      <c r="N2" s="87">
        <v>44419</v>
      </c>
      <c r="O2" s="87">
        <v>44420</v>
      </c>
      <c r="P2" s="87">
        <v>44421</v>
      </c>
      <c r="Q2" s="87">
        <v>44422</v>
      </c>
      <c r="R2" s="87">
        <v>44423</v>
      </c>
      <c r="S2" s="87">
        <v>44424</v>
      </c>
      <c r="T2" s="87">
        <v>44425</v>
      </c>
      <c r="U2" s="87">
        <v>44426</v>
      </c>
      <c r="V2" s="87">
        <v>44427</v>
      </c>
      <c r="W2" s="87">
        <v>44428</v>
      </c>
      <c r="X2" s="87">
        <v>44429</v>
      </c>
      <c r="Y2" s="87">
        <v>44430</v>
      </c>
      <c r="Z2" s="87">
        <v>44431</v>
      </c>
      <c r="AA2" s="87">
        <v>44432</v>
      </c>
      <c r="AB2" s="87">
        <v>44433</v>
      </c>
      <c r="AC2" s="87">
        <v>44434</v>
      </c>
      <c r="AD2" s="87">
        <v>44435</v>
      </c>
      <c r="AE2" s="87">
        <v>44436</v>
      </c>
      <c r="AF2" s="87">
        <v>44437</v>
      </c>
      <c r="AG2" s="87">
        <v>44438</v>
      </c>
      <c r="AH2" s="87">
        <v>44439</v>
      </c>
      <c r="AI2" s="88" t="s">
        <v>2</v>
      </c>
      <c r="AJ2" s="88" t="s">
        <v>3</v>
      </c>
      <c r="AK2" s="88" t="s">
        <v>4</v>
      </c>
      <c r="AL2" s="88" t="s">
        <v>5</v>
      </c>
      <c r="AM2" s="88" t="s">
        <v>6</v>
      </c>
      <c r="AN2" s="88" t="s">
        <v>7</v>
      </c>
      <c r="AO2" s="88" t="s">
        <v>8</v>
      </c>
      <c r="AP2" s="88" t="s">
        <v>9</v>
      </c>
      <c r="AQ2" s="88" t="s">
        <v>10</v>
      </c>
      <c r="AR2" s="88" t="s">
        <v>11</v>
      </c>
      <c r="AS2" s="88" t="s">
        <v>12</v>
      </c>
      <c r="AT2" s="89" t="s">
        <v>13</v>
      </c>
    </row>
    <row r="3" ht="39" customHeight="1" spans="1:46">
      <c r="A3" s="85"/>
      <c r="B3" s="86"/>
      <c r="C3" s="86"/>
      <c r="D3" s="90" t="s">
        <v>14</v>
      </c>
      <c r="E3" s="90" t="s">
        <v>15</v>
      </c>
      <c r="F3" s="90" t="s">
        <v>16</v>
      </c>
      <c r="G3" s="90" t="s">
        <v>17</v>
      </c>
      <c r="H3" s="90" t="s">
        <v>18</v>
      </c>
      <c r="I3" s="90" t="s">
        <v>19</v>
      </c>
      <c r="J3" s="90" t="s">
        <v>20</v>
      </c>
      <c r="K3" s="90" t="s">
        <v>14</v>
      </c>
      <c r="L3" s="90" t="s">
        <v>15</v>
      </c>
      <c r="M3" s="90" t="s">
        <v>16</v>
      </c>
      <c r="N3" s="90" t="s">
        <v>17</v>
      </c>
      <c r="O3" s="90" t="s">
        <v>18</v>
      </c>
      <c r="P3" s="90" t="s">
        <v>19</v>
      </c>
      <c r="Q3" s="90" t="s">
        <v>20</v>
      </c>
      <c r="R3" s="90" t="s">
        <v>14</v>
      </c>
      <c r="S3" s="90" t="s">
        <v>15</v>
      </c>
      <c r="T3" s="90" t="s">
        <v>16</v>
      </c>
      <c r="U3" s="90" t="s">
        <v>17</v>
      </c>
      <c r="V3" s="90" t="s">
        <v>18</v>
      </c>
      <c r="W3" s="90" t="s">
        <v>19</v>
      </c>
      <c r="X3" s="90" t="s">
        <v>20</v>
      </c>
      <c r="Y3" s="90" t="s">
        <v>14</v>
      </c>
      <c r="Z3" s="90" t="s">
        <v>15</v>
      </c>
      <c r="AA3" s="90" t="s">
        <v>16</v>
      </c>
      <c r="AB3" s="90" t="s">
        <v>17</v>
      </c>
      <c r="AC3" s="90" t="s">
        <v>18</v>
      </c>
      <c r="AD3" s="90" t="s">
        <v>19</v>
      </c>
      <c r="AE3" s="90" t="s">
        <v>20</v>
      </c>
      <c r="AF3" s="90" t="s">
        <v>14</v>
      </c>
      <c r="AG3" s="90" t="s">
        <v>15</v>
      </c>
      <c r="AH3" s="90" t="s">
        <v>16</v>
      </c>
      <c r="AI3" s="91"/>
      <c r="AJ3" s="91"/>
      <c r="AK3" s="91"/>
      <c r="AL3" s="91"/>
      <c r="AM3" s="91"/>
      <c r="AN3" s="91"/>
      <c r="AO3" s="91"/>
      <c r="AP3" s="91"/>
      <c r="AQ3" s="91"/>
      <c r="AR3" s="91"/>
      <c r="AS3" s="91"/>
      <c r="AT3" s="89"/>
    </row>
    <row r="4" ht="34" customHeight="1" spans="1:46">
      <c r="A4" s="92">
        <f t="shared" ref="A4:A13" si="0">ROW()-3</f>
        <v>1</v>
      </c>
      <c r="B4" s="93" t="s">
        <v>21</v>
      </c>
      <c r="C4" s="94" t="s">
        <v>22</v>
      </c>
      <c r="D4" s="95" t="s">
        <v>23</v>
      </c>
      <c r="E4" s="95" t="s">
        <v>23</v>
      </c>
      <c r="F4" s="95" t="s">
        <v>23</v>
      </c>
      <c r="G4" s="95" t="s">
        <v>24</v>
      </c>
      <c r="H4" s="95" t="s">
        <v>24</v>
      </c>
      <c r="I4" s="95" t="s">
        <v>23</v>
      </c>
      <c r="J4" s="95" t="s">
        <v>24</v>
      </c>
      <c r="K4" s="95" t="s">
        <v>24</v>
      </c>
      <c r="L4" s="100" t="s">
        <v>25</v>
      </c>
      <c r="M4" s="97" t="s">
        <v>26</v>
      </c>
      <c r="N4" s="97" t="s">
        <v>26</v>
      </c>
      <c r="O4" s="95" t="s">
        <v>24</v>
      </c>
      <c r="P4" s="97" t="s">
        <v>26</v>
      </c>
      <c r="Q4" s="97" t="s">
        <v>26</v>
      </c>
      <c r="R4" s="97" t="s">
        <v>26</v>
      </c>
      <c r="S4" s="97" t="s">
        <v>26</v>
      </c>
      <c r="T4" s="97" t="s">
        <v>26</v>
      </c>
      <c r="U4" s="95" t="s">
        <v>24</v>
      </c>
      <c r="V4" s="95" t="s">
        <v>24</v>
      </c>
      <c r="W4" s="97" t="s">
        <v>26</v>
      </c>
      <c r="X4" s="97" t="s">
        <v>26</v>
      </c>
      <c r="Y4" s="97" t="s">
        <v>26</v>
      </c>
      <c r="Z4" s="97" t="s">
        <v>26</v>
      </c>
      <c r="AA4" s="97" t="s">
        <v>26</v>
      </c>
      <c r="AB4" s="95" t="s">
        <v>24</v>
      </c>
      <c r="AC4" s="95" t="s">
        <v>24</v>
      </c>
      <c r="AD4" s="97" t="s">
        <v>26</v>
      </c>
      <c r="AE4" s="97" t="s">
        <v>26</v>
      </c>
      <c r="AF4" s="100" t="s">
        <v>27</v>
      </c>
      <c r="AG4" s="97" t="s">
        <v>26</v>
      </c>
      <c r="AH4" s="97" t="s">
        <v>26</v>
      </c>
      <c r="AI4" s="98">
        <f t="shared" ref="AI4:AI67" si="1">AM4+AL4+AK4+AJ4</f>
        <v>31</v>
      </c>
      <c r="AJ4" s="98">
        <f t="shared" ref="AJ4:AJ13" si="2">18-AM4</f>
        <v>16.69</v>
      </c>
      <c r="AK4" s="98">
        <v>9</v>
      </c>
      <c r="AL4" s="98">
        <v>4</v>
      </c>
      <c r="AM4" s="98">
        <v>1.31</v>
      </c>
      <c r="AN4" s="98"/>
      <c r="AO4" s="98"/>
      <c r="AP4" s="98"/>
      <c r="AQ4" s="98"/>
      <c r="AR4" s="98"/>
      <c r="AS4" s="98">
        <f t="shared" ref="AS4:AS67" si="3">AM4-AN4-AO4-AP4-AQ4+AR4</f>
        <v>1.31</v>
      </c>
      <c r="AT4" s="99"/>
    </row>
    <row r="5" ht="34" customHeight="1" spans="1:46">
      <c r="A5" s="92">
        <f t="shared" si="0"/>
        <v>2</v>
      </c>
      <c r="B5" s="93" t="s">
        <v>28</v>
      </c>
      <c r="C5" s="94" t="s">
        <v>22</v>
      </c>
      <c r="D5" s="95" t="s">
        <v>23</v>
      </c>
      <c r="E5" s="95" t="s">
        <v>23</v>
      </c>
      <c r="F5" s="95" t="s">
        <v>23</v>
      </c>
      <c r="G5" s="95" t="s">
        <v>24</v>
      </c>
      <c r="H5" s="95" t="s">
        <v>24</v>
      </c>
      <c r="I5" s="95" t="s">
        <v>23</v>
      </c>
      <c r="J5" s="95" t="s">
        <v>24</v>
      </c>
      <c r="K5" s="95" t="s">
        <v>24</v>
      </c>
      <c r="L5" s="96" t="s">
        <v>29</v>
      </c>
      <c r="M5" s="97" t="s">
        <v>26</v>
      </c>
      <c r="N5" s="97" t="s">
        <v>26</v>
      </c>
      <c r="O5" s="95" t="s">
        <v>24</v>
      </c>
      <c r="P5" s="97" t="s">
        <v>26</v>
      </c>
      <c r="Q5" s="97" t="s">
        <v>26</v>
      </c>
      <c r="R5" s="97" t="s">
        <v>26</v>
      </c>
      <c r="S5" s="97" t="s">
        <v>26</v>
      </c>
      <c r="T5" s="97" t="s">
        <v>26</v>
      </c>
      <c r="U5" s="95" t="s">
        <v>24</v>
      </c>
      <c r="V5" s="95" t="s">
        <v>24</v>
      </c>
      <c r="W5" s="97" t="s">
        <v>26</v>
      </c>
      <c r="X5" s="97" t="s">
        <v>26</v>
      </c>
      <c r="Y5" s="97" t="s">
        <v>26</v>
      </c>
      <c r="Z5" s="97" t="s">
        <v>26</v>
      </c>
      <c r="AA5" s="97" t="s">
        <v>26</v>
      </c>
      <c r="AB5" s="95" t="s">
        <v>24</v>
      </c>
      <c r="AC5" s="95" t="s">
        <v>24</v>
      </c>
      <c r="AD5" s="97" t="s">
        <v>26</v>
      </c>
      <c r="AE5" s="97" t="s">
        <v>26</v>
      </c>
      <c r="AF5" s="97" t="s">
        <v>26</v>
      </c>
      <c r="AG5" s="97" t="s">
        <v>26</v>
      </c>
      <c r="AH5" s="97" t="s">
        <v>26</v>
      </c>
      <c r="AI5" s="98">
        <f t="shared" si="1"/>
        <v>31</v>
      </c>
      <c r="AJ5" s="98">
        <f t="shared" si="2"/>
        <v>17.56</v>
      </c>
      <c r="AK5" s="98">
        <v>9</v>
      </c>
      <c r="AL5" s="98">
        <v>4</v>
      </c>
      <c r="AM5" s="98">
        <v>0.44</v>
      </c>
      <c r="AN5" s="98"/>
      <c r="AO5" s="98">
        <v>0.44</v>
      </c>
      <c r="AP5" s="98"/>
      <c r="AQ5" s="98"/>
      <c r="AR5" s="98"/>
      <c r="AS5" s="98">
        <f t="shared" si="3"/>
        <v>0</v>
      </c>
      <c r="AT5" s="99" t="s">
        <v>30</v>
      </c>
    </row>
    <row r="6" customFormat="1" ht="34" customHeight="1" spans="1:46">
      <c r="A6" s="92">
        <f t="shared" si="0"/>
        <v>3</v>
      </c>
      <c r="B6" s="93" t="s">
        <v>31</v>
      </c>
      <c r="C6" s="94" t="s">
        <v>22</v>
      </c>
      <c r="D6" s="95" t="s">
        <v>23</v>
      </c>
      <c r="E6" s="95" t="s">
        <v>23</v>
      </c>
      <c r="F6" s="95" t="s">
        <v>23</v>
      </c>
      <c r="G6" s="95" t="s">
        <v>24</v>
      </c>
      <c r="H6" s="95" t="s">
        <v>24</v>
      </c>
      <c r="I6" s="95" t="s">
        <v>23</v>
      </c>
      <c r="J6" s="95" t="s">
        <v>24</v>
      </c>
      <c r="K6" s="95" t="s">
        <v>24</v>
      </c>
      <c r="L6" s="97" t="s">
        <v>26</v>
      </c>
      <c r="M6" s="97" t="s">
        <v>26</v>
      </c>
      <c r="N6" s="97" t="s">
        <v>26</v>
      </c>
      <c r="O6" s="95" t="s">
        <v>24</v>
      </c>
      <c r="P6" s="97" t="s">
        <v>26</v>
      </c>
      <c r="Q6" s="97" t="s">
        <v>26</v>
      </c>
      <c r="R6" s="97" t="s">
        <v>26</v>
      </c>
      <c r="S6" s="97" t="s">
        <v>26</v>
      </c>
      <c r="T6" s="97" t="s">
        <v>26</v>
      </c>
      <c r="U6" s="95" t="s">
        <v>24</v>
      </c>
      <c r="V6" s="95" t="s">
        <v>24</v>
      </c>
      <c r="W6" s="97" t="s">
        <v>26</v>
      </c>
      <c r="X6" s="97" t="s">
        <v>26</v>
      </c>
      <c r="Y6" s="100" t="s">
        <v>25</v>
      </c>
      <c r="Z6" s="97" t="s">
        <v>26</v>
      </c>
      <c r="AA6" s="97" t="s">
        <v>26</v>
      </c>
      <c r="AB6" s="95" t="s">
        <v>24</v>
      </c>
      <c r="AC6" s="95" t="s">
        <v>24</v>
      </c>
      <c r="AD6" s="97" t="s">
        <v>26</v>
      </c>
      <c r="AE6" s="97" t="s">
        <v>26</v>
      </c>
      <c r="AF6" s="97" t="s">
        <v>26</v>
      </c>
      <c r="AG6" s="97" t="s">
        <v>26</v>
      </c>
      <c r="AH6" s="97" t="s">
        <v>26</v>
      </c>
      <c r="AI6" s="98">
        <f t="shared" si="1"/>
        <v>31</v>
      </c>
      <c r="AJ6" s="98">
        <f t="shared" si="2"/>
        <v>17</v>
      </c>
      <c r="AK6" s="98">
        <v>9</v>
      </c>
      <c r="AL6" s="98">
        <v>4</v>
      </c>
      <c r="AM6" s="98">
        <v>1</v>
      </c>
      <c r="AN6" s="98"/>
      <c r="AO6" s="98"/>
      <c r="AP6" s="98"/>
      <c r="AQ6" s="98"/>
      <c r="AR6" s="98"/>
      <c r="AS6" s="98">
        <f t="shared" si="3"/>
        <v>1</v>
      </c>
      <c r="AT6" s="99"/>
    </row>
    <row r="7" ht="34" customHeight="1" spans="1:46">
      <c r="A7" s="92">
        <f t="shared" si="0"/>
        <v>4</v>
      </c>
      <c r="B7" s="93" t="s">
        <v>32</v>
      </c>
      <c r="C7" s="94" t="s">
        <v>22</v>
      </c>
      <c r="D7" s="95" t="s">
        <v>23</v>
      </c>
      <c r="E7" s="95" t="s">
        <v>23</v>
      </c>
      <c r="F7" s="95" t="s">
        <v>23</v>
      </c>
      <c r="G7" s="95" t="s">
        <v>24</v>
      </c>
      <c r="H7" s="95" t="s">
        <v>24</v>
      </c>
      <c r="I7" s="95" t="s">
        <v>23</v>
      </c>
      <c r="J7" s="95" t="s">
        <v>24</v>
      </c>
      <c r="K7" s="95" t="s">
        <v>24</v>
      </c>
      <c r="L7" s="97" t="s">
        <v>26</v>
      </c>
      <c r="M7" s="97" t="s">
        <v>26</v>
      </c>
      <c r="N7" s="97" t="s">
        <v>26</v>
      </c>
      <c r="O7" s="95" t="s">
        <v>24</v>
      </c>
      <c r="P7" s="97" t="s">
        <v>26</v>
      </c>
      <c r="Q7" s="97" t="s">
        <v>26</v>
      </c>
      <c r="R7" s="97" t="s">
        <v>26</v>
      </c>
      <c r="S7" s="97" t="s">
        <v>26</v>
      </c>
      <c r="T7" s="97" t="s">
        <v>26</v>
      </c>
      <c r="U7" s="95" t="s">
        <v>24</v>
      </c>
      <c r="V7" s="95" t="s">
        <v>24</v>
      </c>
      <c r="W7" s="97" t="s">
        <v>26</v>
      </c>
      <c r="X7" s="97" t="s">
        <v>26</v>
      </c>
      <c r="Y7" s="97" t="s">
        <v>26</v>
      </c>
      <c r="Z7" s="97" t="s">
        <v>26</v>
      </c>
      <c r="AA7" s="97" t="s">
        <v>26</v>
      </c>
      <c r="AB7" s="95" t="s">
        <v>24</v>
      </c>
      <c r="AC7" s="95" t="s">
        <v>24</v>
      </c>
      <c r="AD7" s="97" t="s">
        <v>26</v>
      </c>
      <c r="AE7" s="97" t="s">
        <v>26</v>
      </c>
      <c r="AF7" s="97" t="s">
        <v>26</v>
      </c>
      <c r="AG7" s="97" t="s">
        <v>26</v>
      </c>
      <c r="AH7" s="97" t="s">
        <v>26</v>
      </c>
      <c r="AI7" s="98">
        <f t="shared" si="1"/>
        <v>31</v>
      </c>
      <c r="AJ7" s="98">
        <f t="shared" si="2"/>
        <v>18</v>
      </c>
      <c r="AK7" s="98">
        <v>9</v>
      </c>
      <c r="AL7" s="98">
        <v>4</v>
      </c>
      <c r="AM7" s="98">
        <v>0</v>
      </c>
      <c r="AN7" s="98"/>
      <c r="AO7" s="98"/>
      <c r="AP7" s="98"/>
      <c r="AQ7" s="98"/>
      <c r="AR7" s="98"/>
      <c r="AS7" s="98">
        <f t="shared" si="3"/>
        <v>0</v>
      </c>
      <c r="AT7" s="99"/>
    </row>
    <row r="8" ht="34" customHeight="1" spans="1:46">
      <c r="A8" s="92">
        <f t="shared" si="0"/>
        <v>5</v>
      </c>
      <c r="B8" s="106" t="s">
        <v>33</v>
      </c>
      <c r="C8" s="94" t="s">
        <v>22</v>
      </c>
      <c r="D8" s="95" t="s">
        <v>23</v>
      </c>
      <c r="E8" s="95" t="s">
        <v>23</v>
      </c>
      <c r="F8" s="95" t="s">
        <v>23</v>
      </c>
      <c r="G8" s="95" t="s">
        <v>24</v>
      </c>
      <c r="H8" s="95" t="s">
        <v>24</v>
      </c>
      <c r="I8" s="95" t="s">
        <v>23</v>
      </c>
      <c r="J8" s="95" t="s">
        <v>24</v>
      </c>
      <c r="K8" s="95" t="s">
        <v>24</v>
      </c>
      <c r="L8" s="97" t="s">
        <v>26</v>
      </c>
      <c r="M8" s="98" t="s">
        <v>34</v>
      </c>
      <c r="N8" s="98" t="s">
        <v>34</v>
      </c>
      <c r="O8" s="98" t="s">
        <v>34</v>
      </c>
      <c r="P8" s="98" t="s">
        <v>34</v>
      </c>
      <c r="Q8" s="98" t="s">
        <v>34</v>
      </c>
      <c r="R8" s="98" t="s">
        <v>34</v>
      </c>
      <c r="S8" s="98" t="s">
        <v>34</v>
      </c>
      <c r="T8" s="98" t="s">
        <v>34</v>
      </c>
      <c r="U8" s="98" t="s">
        <v>34</v>
      </c>
      <c r="V8" s="98" t="s">
        <v>34</v>
      </c>
      <c r="W8" s="98" t="s">
        <v>34</v>
      </c>
      <c r="X8" s="98" t="s">
        <v>34</v>
      </c>
      <c r="Y8" s="98" t="s">
        <v>34</v>
      </c>
      <c r="Z8" s="98" t="s">
        <v>34</v>
      </c>
      <c r="AA8" s="98" t="s">
        <v>34</v>
      </c>
      <c r="AB8" s="98" t="s">
        <v>34</v>
      </c>
      <c r="AC8" s="98" t="s">
        <v>34</v>
      </c>
      <c r="AD8" s="98" t="s">
        <v>34</v>
      </c>
      <c r="AE8" s="98" t="s">
        <v>34</v>
      </c>
      <c r="AF8" s="98" t="s">
        <v>34</v>
      </c>
      <c r="AG8" s="98" t="s">
        <v>34</v>
      </c>
      <c r="AH8" s="98" t="s">
        <v>34</v>
      </c>
      <c r="AI8" s="98">
        <f t="shared" si="1"/>
        <v>31</v>
      </c>
      <c r="AJ8" s="98">
        <f t="shared" si="2"/>
        <v>1</v>
      </c>
      <c r="AK8" s="98">
        <v>9</v>
      </c>
      <c r="AL8" s="98">
        <v>4</v>
      </c>
      <c r="AM8" s="98">
        <v>17</v>
      </c>
      <c r="AN8" s="98"/>
      <c r="AO8" s="98"/>
      <c r="AP8" s="98"/>
      <c r="AQ8" s="98"/>
      <c r="AR8" s="98"/>
      <c r="AS8" s="98">
        <f t="shared" si="3"/>
        <v>17</v>
      </c>
      <c r="AT8" s="99" t="s">
        <v>35</v>
      </c>
    </row>
    <row r="9" ht="34" customHeight="1" spans="1:46">
      <c r="A9" s="92">
        <f t="shared" si="0"/>
        <v>6</v>
      </c>
      <c r="B9" s="106" t="s">
        <v>36</v>
      </c>
      <c r="C9" s="94" t="s">
        <v>22</v>
      </c>
      <c r="D9" s="95" t="s">
        <v>23</v>
      </c>
      <c r="E9" s="95" t="s">
        <v>23</v>
      </c>
      <c r="F9" s="95" t="s">
        <v>23</v>
      </c>
      <c r="G9" s="95" t="s">
        <v>24</v>
      </c>
      <c r="H9" s="95" t="s">
        <v>24</v>
      </c>
      <c r="I9" s="95" t="s">
        <v>23</v>
      </c>
      <c r="J9" s="95" t="s">
        <v>24</v>
      </c>
      <c r="K9" s="95" t="s">
        <v>24</v>
      </c>
      <c r="L9" s="97" t="s">
        <v>26</v>
      </c>
      <c r="M9" s="98" t="s">
        <v>34</v>
      </c>
      <c r="N9" s="98" t="s">
        <v>34</v>
      </c>
      <c r="O9" s="98" t="s">
        <v>34</v>
      </c>
      <c r="P9" s="98" t="s">
        <v>34</v>
      </c>
      <c r="Q9" s="98" t="s">
        <v>34</v>
      </c>
      <c r="R9" s="98" t="s">
        <v>34</v>
      </c>
      <c r="S9" s="98" t="s">
        <v>34</v>
      </c>
      <c r="T9" s="98" t="s">
        <v>34</v>
      </c>
      <c r="U9" s="98" t="s">
        <v>34</v>
      </c>
      <c r="V9" s="98" t="s">
        <v>34</v>
      </c>
      <c r="W9" s="98" t="s">
        <v>34</v>
      </c>
      <c r="X9" s="98" t="s">
        <v>34</v>
      </c>
      <c r="Y9" s="98" t="s">
        <v>34</v>
      </c>
      <c r="Z9" s="98" t="s">
        <v>34</v>
      </c>
      <c r="AA9" s="98" t="s">
        <v>34</v>
      </c>
      <c r="AB9" s="98" t="s">
        <v>34</v>
      </c>
      <c r="AC9" s="98" t="s">
        <v>34</v>
      </c>
      <c r="AD9" s="98" t="s">
        <v>34</v>
      </c>
      <c r="AE9" s="98" t="s">
        <v>34</v>
      </c>
      <c r="AF9" s="98" t="s">
        <v>34</v>
      </c>
      <c r="AG9" s="98" t="s">
        <v>34</v>
      </c>
      <c r="AH9" s="98" t="s">
        <v>34</v>
      </c>
      <c r="AI9" s="98">
        <f t="shared" si="1"/>
        <v>31</v>
      </c>
      <c r="AJ9" s="98">
        <f t="shared" si="2"/>
        <v>1</v>
      </c>
      <c r="AK9" s="98">
        <v>9</v>
      </c>
      <c r="AL9" s="98">
        <v>4</v>
      </c>
      <c r="AM9" s="98">
        <v>17</v>
      </c>
      <c r="AN9" s="98"/>
      <c r="AO9" s="98"/>
      <c r="AP9" s="98"/>
      <c r="AQ9" s="98"/>
      <c r="AR9" s="98"/>
      <c r="AS9" s="98">
        <f t="shared" si="3"/>
        <v>17</v>
      </c>
      <c r="AT9" s="99" t="s">
        <v>35</v>
      </c>
    </row>
    <row r="10" ht="34" customHeight="1" spans="1:46">
      <c r="A10" s="92">
        <f t="shared" si="0"/>
        <v>7</v>
      </c>
      <c r="B10" s="106" t="s">
        <v>37</v>
      </c>
      <c r="C10" s="94" t="s">
        <v>22</v>
      </c>
      <c r="D10" s="98" t="s">
        <v>34</v>
      </c>
      <c r="E10" s="98" t="s">
        <v>34</v>
      </c>
      <c r="F10" s="98" t="s">
        <v>34</v>
      </c>
      <c r="G10" s="98" t="s">
        <v>34</v>
      </c>
      <c r="H10" s="98" t="s">
        <v>34</v>
      </c>
      <c r="I10" s="98" t="s">
        <v>34</v>
      </c>
      <c r="J10" s="98" t="s">
        <v>34</v>
      </c>
      <c r="K10" s="98" t="s">
        <v>34</v>
      </c>
      <c r="L10" s="98" t="s">
        <v>34</v>
      </c>
      <c r="M10" s="97" t="s">
        <v>26</v>
      </c>
      <c r="N10" s="97" t="s">
        <v>26</v>
      </c>
      <c r="O10" s="95" t="s">
        <v>24</v>
      </c>
      <c r="P10" s="97" t="s">
        <v>26</v>
      </c>
      <c r="Q10" s="98" t="s">
        <v>34</v>
      </c>
      <c r="R10" s="98" t="s">
        <v>34</v>
      </c>
      <c r="S10" s="98" t="s">
        <v>34</v>
      </c>
      <c r="T10" s="98" t="s">
        <v>34</v>
      </c>
      <c r="U10" s="98" t="s">
        <v>34</v>
      </c>
      <c r="V10" s="98" t="s">
        <v>34</v>
      </c>
      <c r="W10" s="98" t="s">
        <v>34</v>
      </c>
      <c r="X10" s="98" t="s">
        <v>34</v>
      </c>
      <c r="Y10" s="98" t="s">
        <v>34</v>
      </c>
      <c r="Z10" s="98" t="s">
        <v>34</v>
      </c>
      <c r="AA10" s="98" t="s">
        <v>34</v>
      </c>
      <c r="AB10" s="98" t="s">
        <v>34</v>
      </c>
      <c r="AC10" s="98" t="s">
        <v>34</v>
      </c>
      <c r="AD10" s="98" t="s">
        <v>34</v>
      </c>
      <c r="AE10" s="98" t="s">
        <v>34</v>
      </c>
      <c r="AF10" s="98" t="s">
        <v>34</v>
      </c>
      <c r="AG10" s="98" t="s">
        <v>34</v>
      </c>
      <c r="AH10" s="98" t="s">
        <v>34</v>
      </c>
      <c r="AI10" s="98">
        <f t="shared" si="1"/>
        <v>31</v>
      </c>
      <c r="AJ10" s="98">
        <f t="shared" si="2"/>
        <v>3</v>
      </c>
      <c r="AK10" s="98">
        <v>9</v>
      </c>
      <c r="AL10" s="98">
        <v>4</v>
      </c>
      <c r="AM10" s="98">
        <v>15</v>
      </c>
      <c r="AN10" s="98"/>
      <c r="AO10" s="98"/>
      <c r="AP10" s="98"/>
      <c r="AQ10" s="98"/>
      <c r="AR10" s="98">
        <v>4</v>
      </c>
      <c r="AS10" s="98">
        <f t="shared" si="3"/>
        <v>19</v>
      </c>
      <c r="AT10" s="99" t="s">
        <v>38</v>
      </c>
    </row>
    <row r="11" ht="34" customHeight="1" spans="1:46">
      <c r="A11" s="92">
        <f t="shared" si="0"/>
        <v>8</v>
      </c>
      <c r="B11" s="101" t="s">
        <v>39</v>
      </c>
      <c r="C11" s="94" t="s">
        <v>22</v>
      </c>
      <c r="D11" s="98" t="s">
        <v>34</v>
      </c>
      <c r="E11" s="98" t="s">
        <v>34</v>
      </c>
      <c r="F11" s="98" t="s">
        <v>34</v>
      </c>
      <c r="G11" s="98" t="s">
        <v>34</v>
      </c>
      <c r="H11" s="98" t="s">
        <v>34</v>
      </c>
      <c r="I11" s="98" t="s">
        <v>34</v>
      </c>
      <c r="J11" s="98" t="s">
        <v>34</v>
      </c>
      <c r="K11" s="98" t="s">
        <v>34</v>
      </c>
      <c r="L11" s="98" t="s">
        <v>34</v>
      </c>
      <c r="M11" s="98" t="s">
        <v>34</v>
      </c>
      <c r="N11" s="98" t="s">
        <v>34</v>
      </c>
      <c r="O11" s="98" t="s">
        <v>34</v>
      </c>
      <c r="P11" s="98" t="s">
        <v>34</v>
      </c>
      <c r="Q11" s="98" t="s">
        <v>34</v>
      </c>
      <c r="R11" s="98" t="s">
        <v>34</v>
      </c>
      <c r="S11" s="98" t="s">
        <v>34</v>
      </c>
      <c r="T11" s="97" t="s">
        <v>26</v>
      </c>
      <c r="U11" s="98" t="s">
        <v>34</v>
      </c>
      <c r="V11" s="98" t="s">
        <v>34</v>
      </c>
      <c r="W11" s="98" t="s">
        <v>34</v>
      </c>
      <c r="X11" s="98" t="s">
        <v>34</v>
      </c>
      <c r="Y11" s="98" t="s">
        <v>34</v>
      </c>
      <c r="Z11" s="98" t="s">
        <v>34</v>
      </c>
      <c r="AA11" s="98" t="s">
        <v>34</v>
      </c>
      <c r="AB11" s="98" t="s">
        <v>34</v>
      </c>
      <c r="AC11" s="98" t="s">
        <v>34</v>
      </c>
      <c r="AD11" s="98" t="s">
        <v>34</v>
      </c>
      <c r="AE11" s="98" t="s">
        <v>34</v>
      </c>
      <c r="AF11" s="98" t="s">
        <v>34</v>
      </c>
      <c r="AG11" s="98" t="s">
        <v>34</v>
      </c>
      <c r="AH11" s="98" t="s">
        <v>34</v>
      </c>
      <c r="AI11" s="98">
        <f t="shared" si="1"/>
        <v>31</v>
      </c>
      <c r="AJ11" s="98">
        <f t="shared" si="2"/>
        <v>1</v>
      </c>
      <c r="AK11" s="98">
        <v>9</v>
      </c>
      <c r="AL11" s="98">
        <v>4</v>
      </c>
      <c r="AM11" s="98">
        <v>17</v>
      </c>
      <c r="AN11" s="98"/>
      <c r="AO11" s="98"/>
      <c r="AP11" s="98"/>
      <c r="AQ11" s="98"/>
      <c r="AR11" s="98">
        <v>4</v>
      </c>
      <c r="AS11" s="98">
        <f t="shared" si="3"/>
        <v>21</v>
      </c>
      <c r="AT11" s="99" t="s">
        <v>40</v>
      </c>
    </row>
    <row r="12" ht="34" customHeight="1" spans="1:46">
      <c r="A12" s="92">
        <f t="shared" si="0"/>
        <v>9</v>
      </c>
      <c r="B12" s="101" t="s">
        <v>41</v>
      </c>
      <c r="C12" s="94" t="s">
        <v>22</v>
      </c>
      <c r="D12" s="98" t="s">
        <v>34</v>
      </c>
      <c r="E12" s="98" t="s">
        <v>34</v>
      </c>
      <c r="F12" s="98" t="s">
        <v>34</v>
      </c>
      <c r="G12" s="98" t="s">
        <v>34</v>
      </c>
      <c r="H12" s="98" t="s">
        <v>34</v>
      </c>
      <c r="I12" s="98" t="s">
        <v>34</v>
      </c>
      <c r="J12" s="98" t="s">
        <v>34</v>
      </c>
      <c r="K12" s="98" t="s">
        <v>34</v>
      </c>
      <c r="L12" s="97" t="s">
        <v>26</v>
      </c>
      <c r="M12" s="98" t="s">
        <v>34</v>
      </c>
      <c r="N12" s="98" t="s">
        <v>34</v>
      </c>
      <c r="O12" s="98" t="s">
        <v>34</v>
      </c>
      <c r="P12" s="98" t="s">
        <v>34</v>
      </c>
      <c r="Q12" s="98" t="s">
        <v>34</v>
      </c>
      <c r="R12" s="98" t="s">
        <v>34</v>
      </c>
      <c r="S12" s="98" t="s">
        <v>34</v>
      </c>
      <c r="T12" s="98" t="s">
        <v>34</v>
      </c>
      <c r="U12" s="98" t="s">
        <v>34</v>
      </c>
      <c r="V12" s="98" t="s">
        <v>34</v>
      </c>
      <c r="W12" s="98" t="s">
        <v>34</v>
      </c>
      <c r="X12" s="98" t="s">
        <v>34</v>
      </c>
      <c r="Y12" s="98" t="s">
        <v>34</v>
      </c>
      <c r="Z12" s="98" t="s">
        <v>34</v>
      </c>
      <c r="AA12" s="98" t="s">
        <v>34</v>
      </c>
      <c r="AB12" s="98" t="s">
        <v>34</v>
      </c>
      <c r="AC12" s="98" t="s">
        <v>34</v>
      </c>
      <c r="AD12" s="98" t="s">
        <v>34</v>
      </c>
      <c r="AE12" s="98" t="s">
        <v>34</v>
      </c>
      <c r="AF12" s="98" t="s">
        <v>34</v>
      </c>
      <c r="AG12" s="98" t="s">
        <v>34</v>
      </c>
      <c r="AH12" s="98" t="s">
        <v>34</v>
      </c>
      <c r="AI12" s="98">
        <f t="shared" si="1"/>
        <v>31</v>
      </c>
      <c r="AJ12" s="98">
        <f t="shared" si="2"/>
        <v>1</v>
      </c>
      <c r="AK12" s="98">
        <v>9</v>
      </c>
      <c r="AL12" s="98">
        <v>4</v>
      </c>
      <c r="AM12" s="98">
        <v>17</v>
      </c>
      <c r="AN12" s="98"/>
      <c r="AO12" s="98"/>
      <c r="AP12" s="98"/>
      <c r="AQ12" s="98"/>
      <c r="AR12" s="98">
        <v>4</v>
      </c>
      <c r="AS12" s="98">
        <f t="shared" si="3"/>
        <v>21</v>
      </c>
      <c r="AT12" s="99" t="s">
        <v>42</v>
      </c>
    </row>
    <row r="13" ht="34" customHeight="1" spans="1:46">
      <c r="A13" s="92">
        <f t="shared" si="0"/>
        <v>10</v>
      </c>
      <c r="B13" s="101" t="s">
        <v>43</v>
      </c>
      <c r="C13" s="94" t="s">
        <v>22</v>
      </c>
      <c r="D13" s="98" t="s">
        <v>34</v>
      </c>
      <c r="E13" s="98" t="s">
        <v>34</v>
      </c>
      <c r="F13" s="98" t="s">
        <v>34</v>
      </c>
      <c r="G13" s="98" t="s">
        <v>34</v>
      </c>
      <c r="H13" s="98" t="s">
        <v>34</v>
      </c>
      <c r="I13" s="98" t="s">
        <v>34</v>
      </c>
      <c r="J13" s="98" t="s">
        <v>34</v>
      </c>
      <c r="K13" s="98" t="s">
        <v>34</v>
      </c>
      <c r="L13" s="98" t="s">
        <v>34</v>
      </c>
      <c r="M13" s="98" t="s">
        <v>34</v>
      </c>
      <c r="N13" s="98" t="s">
        <v>34</v>
      </c>
      <c r="O13" s="98" t="s">
        <v>34</v>
      </c>
      <c r="P13" s="98" t="s">
        <v>34</v>
      </c>
      <c r="Q13" s="98" t="s">
        <v>34</v>
      </c>
      <c r="R13" s="98" t="s">
        <v>34</v>
      </c>
      <c r="S13" s="98" t="s">
        <v>34</v>
      </c>
      <c r="T13" s="98" t="s">
        <v>34</v>
      </c>
      <c r="U13" s="98" t="s">
        <v>34</v>
      </c>
      <c r="V13" s="98" t="s">
        <v>34</v>
      </c>
      <c r="W13" s="98" t="s">
        <v>34</v>
      </c>
      <c r="X13" s="98" t="s">
        <v>34</v>
      </c>
      <c r="Y13" s="98" t="s">
        <v>34</v>
      </c>
      <c r="Z13" s="98" t="s">
        <v>34</v>
      </c>
      <c r="AA13" s="98" t="s">
        <v>34</v>
      </c>
      <c r="AB13" s="98" t="s">
        <v>34</v>
      </c>
      <c r="AC13" s="98" t="s">
        <v>34</v>
      </c>
      <c r="AD13" s="97" t="s">
        <v>26</v>
      </c>
      <c r="AE13" s="97" t="s">
        <v>26</v>
      </c>
      <c r="AF13" s="97" t="s">
        <v>26</v>
      </c>
      <c r="AG13" s="97" t="s">
        <v>26</v>
      </c>
      <c r="AH13" s="97" t="s">
        <v>26</v>
      </c>
      <c r="AI13" s="98">
        <f t="shared" si="1"/>
        <v>31</v>
      </c>
      <c r="AJ13" s="98">
        <f t="shared" si="2"/>
        <v>5</v>
      </c>
      <c r="AK13" s="98">
        <v>9</v>
      </c>
      <c r="AL13" s="98">
        <v>4</v>
      </c>
      <c r="AM13" s="98">
        <v>13</v>
      </c>
      <c r="AN13" s="98"/>
      <c r="AO13" s="98"/>
      <c r="AP13" s="98"/>
      <c r="AQ13" s="98"/>
      <c r="AR13" s="98">
        <v>4</v>
      </c>
      <c r="AS13" s="98">
        <f t="shared" si="3"/>
        <v>17</v>
      </c>
      <c r="AT13" s="99" t="s">
        <v>44</v>
      </c>
    </row>
    <row r="14" ht="34" customHeight="1" spans="1:46">
      <c r="A14" s="92">
        <f t="shared" ref="A14:A20" si="4">ROW()-3</f>
        <v>11</v>
      </c>
      <c r="B14" s="93" t="s">
        <v>45</v>
      </c>
      <c r="C14" s="94" t="s">
        <v>46</v>
      </c>
      <c r="D14" s="95" t="s">
        <v>23</v>
      </c>
      <c r="E14" s="95" t="s">
        <v>23</v>
      </c>
      <c r="F14" s="95" t="s">
        <v>23</v>
      </c>
      <c r="G14" s="95" t="s">
        <v>24</v>
      </c>
      <c r="H14" s="95" t="s">
        <v>24</v>
      </c>
      <c r="I14" s="95" t="s">
        <v>23</v>
      </c>
      <c r="J14" s="95" t="s">
        <v>24</v>
      </c>
      <c r="K14" s="95" t="s">
        <v>24</v>
      </c>
      <c r="L14" s="100" t="s">
        <v>25</v>
      </c>
      <c r="M14" s="100" t="s">
        <v>25</v>
      </c>
      <c r="N14" s="100" t="s">
        <v>25</v>
      </c>
      <c r="O14" s="95" t="s">
        <v>24</v>
      </c>
      <c r="P14" s="100" t="s">
        <v>25</v>
      </c>
      <c r="Q14" s="100" t="s">
        <v>25</v>
      </c>
      <c r="R14" s="100" t="s">
        <v>25</v>
      </c>
      <c r="S14" s="100" t="s">
        <v>25</v>
      </c>
      <c r="T14" s="100" t="s">
        <v>25</v>
      </c>
      <c r="U14" s="95" t="s">
        <v>24</v>
      </c>
      <c r="V14" s="95" t="s">
        <v>24</v>
      </c>
      <c r="W14" s="100" t="s">
        <v>25</v>
      </c>
      <c r="X14" s="100" t="s">
        <v>25</v>
      </c>
      <c r="Y14" s="100" t="s">
        <v>25</v>
      </c>
      <c r="Z14" s="100" t="s">
        <v>25</v>
      </c>
      <c r="AA14" s="100" t="s">
        <v>25</v>
      </c>
      <c r="AB14" s="95" t="s">
        <v>24</v>
      </c>
      <c r="AC14" s="95" t="s">
        <v>24</v>
      </c>
      <c r="AD14" s="100" t="s">
        <v>25</v>
      </c>
      <c r="AE14" s="100" t="s">
        <v>25</v>
      </c>
      <c r="AF14" s="100" t="s">
        <v>25</v>
      </c>
      <c r="AG14" s="100" t="s">
        <v>25</v>
      </c>
      <c r="AH14" s="100" t="s">
        <v>25</v>
      </c>
      <c r="AI14" s="98">
        <f t="shared" si="1"/>
        <v>31</v>
      </c>
      <c r="AJ14" s="98">
        <v>0</v>
      </c>
      <c r="AK14" s="98">
        <v>9</v>
      </c>
      <c r="AL14" s="98">
        <v>4</v>
      </c>
      <c r="AM14" s="98">
        <v>18</v>
      </c>
      <c r="AN14" s="98"/>
      <c r="AO14" s="98"/>
      <c r="AP14" s="98"/>
      <c r="AQ14" s="98"/>
      <c r="AR14" s="98">
        <v>4</v>
      </c>
      <c r="AS14" s="98">
        <f t="shared" si="3"/>
        <v>22</v>
      </c>
      <c r="AT14" s="99"/>
    </row>
    <row r="15" ht="34" customHeight="1" spans="1:46">
      <c r="A15" s="92">
        <f t="shared" si="4"/>
        <v>12</v>
      </c>
      <c r="B15" s="93" t="s">
        <v>47</v>
      </c>
      <c r="C15" s="94" t="s">
        <v>46</v>
      </c>
      <c r="D15" s="95" t="s">
        <v>23</v>
      </c>
      <c r="E15" s="95" t="s">
        <v>23</v>
      </c>
      <c r="F15" s="95" t="s">
        <v>23</v>
      </c>
      <c r="G15" s="95" t="s">
        <v>24</v>
      </c>
      <c r="H15" s="95" t="s">
        <v>24</v>
      </c>
      <c r="I15" s="95" t="s">
        <v>23</v>
      </c>
      <c r="J15" s="95" t="s">
        <v>24</v>
      </c>
      <c r="K15" s="95" t="s">
        <v>24</v>
      </c>
      <c r="L15" s="97" t="s">
        <v>26</v>
      </c>
      <c r="M15" s="97" t="s">
        <v>26</v>
      </c>
      <c r="N15" s="97" t="s">
        <v>26</v>
      </c>
      <c r="O15" s="95" t="s">
        <v>24</v>
      </c>
      <c r="P15" s="97" t="s">
        <v>26</v>
      </c>
      <c r="Q15" s="97" t="s">
        <v>26</v>
      </c>
      <c r="R15" s="97" t="s">
        <v>26</v>
      </c>
      <c r="S15" s="97" t="s">
        <v>26</v>
      </c>
      <c r="T15" s="97" t="s">
        <v>26</v>
      </c>
      <c r="U15" s="95" t="s">
        <v>24</v>
      </c>
      <c r="V15" s="95" t="s">
        <v>24</v>
      </c>
      <c r="W15" s="97" t="s">
        <v>26</v>
      </c>
      <c r="X15" s="97" t="s">
        <v>26</v>
      </c>
      <c r="Y15" s="97" t="s">
        <v>26</v>
      </c>
      <c r="Z15" s="97" t="s">
        <v>26</v>
      </c>
      <c r="AA15" s="97" t="s">
        <v>26</v>
      </c>
      <c r="AB15" s="95" t="s">
        <v>24</v>
      </c>
      <c r="AC15" s="95" t="s">
        <v>24</v>
      </c>
      <c r="AD15" s="97" t="s">
        <v>26</v>
      </c>
      <c r="AE15" s="97" t="s">
        <v>26</v>
      </c>
      <c r="AF15" s="97" t="s">
        <v>26</v>
      </c>
      <c r="AG15" s="97" t="s">
        <v>26</v>
      </c>
      <c r="AH15" s="97" t="s">
        <v>26</v>
      </c>
      <c r="AI15" s="98">
        <f t="shared" si="1"/>
        <v>31</v>
      </c>
      <c r="AJ15" s="98">
        <f t="shared" ref="AJ15:AJ36" si="5">18-AM15</f>
        <v>18</v>
      </c>
      <c r="AK15" s="98">
        <v>9</v>
      </c>
      <c r="AL15" s="98">
        <v>4</v>
      </c>
      <c r="AM15" s="98">
        <v>0</v>
      </c>
      <c r="AN15" s="98"/>
      <c r="AO15" s="98"/>
      <c r="AP15" s="98"/>
      <c r="AQ15" s="98"/>
      <c r="AR15" s="98"/>
      <c r="AS15" s="98">
        <f t="shared" si="3"/>
        <v>0</v>
      </c>
      <c r="AT15" s="99"/>
    </row>
    <row r="16" ht="34" customHeight="1" spans="1:46">
      <c r="A16" s="92">
        <f t="shared" si="4"/>
        <v>13</v>
      </c>
      <c r="B16" s="93" t="s">
        <v>48</v>
      </c>
      <c r="C16" s="94" t="s">
        <v>46</v>
      </c>
      <c r="D16" s="95" t="s">
        <v>23</v>
      </c>
      <c r="E16" s="95" t="s">
        <v>23</v>
      </c>
      <c r="F16" s="95" t="s">
        <v>23</v>
      </c>
      <c r="G16" s="95" t="s">
        <v>24</v>
      </c>
      <c r="H16" s="95" t="s">
        <v>24</v>
      </c>
      <c r="I16" s="95" t="s">
        <v>23</v>
      </c>
      <c r="J16" s="95" t="s">
        <v>24</v>
      </c>
      <c r="K16" s="95" t="s">
        <v>24</v>
      </c>
      <c r="L16" s="129" t="s">
        <v>49</v>
      </c>
      <c r="M16" s="129" t="s">
        <v>49</v>
      </c>
      <c r="N16" s="129" t="s">
        <v>49</v>
      </c>
      <c r="O16" s="95" t="s">
        <v>24</v>
      </c>
      <c r="P16" s="129" t="s">
        <v>49</v>
      </c>
      <c r="Q16" s="129" t="s">
        <v>49</v>
      </c>
      <c r="R16" s="129" t="s">
        <v>49</v>
      </c>
      <c r="S16" s="97" t="s">
        <v>26</v>
      </c>
      <c r="T16" s="100" t="s">
        <v>50</v>
      </c>
      <c r="U16" s="95" t="s">
        <v>24</v>
      </c>
      <c r="V16" s="95" t="s">
        <v>24</v>
      </c>
      <c r="W16" s="100" t="s">
        <v>51</v>
      </c>
      <c r="X16" s="100" t="s">
        <v>51</v>
      </c>
      <c r="Y16" s="97" t="s">
        <v>26</v>
      </c>
      <c r="Z16" s="97" t="s">
        <v>26</v>
      </c>
      <c r="AA16" s="97" t="s">
        <v>26</v>
      </c>
      <c r="AB16" s="95" t="s">
        <v>24</v>
      </c>
      <c r="AC16" s="95" t="s">
        <v>24</v>
      </c>
      <c r="AD16" s="97" t="s">
        <v>26</v>
      </c>
      <c r="AE16" s="100" t="s">
        <v>52</v>
      </c>
      <c r="AF16" s="97" t="s">
        <v>26</v>
      </c>
      <c r="AG16" s="97" t="s">
        <v>26</v>
      </c>
      <c r="AH16" s="97" t="s">
        <v>26</v>
      </c>
      <c r="AI16" s="98">
        <f t="shared" si="1"/>
        <v>31</v>
      </c>
      <c r="AJ16" s="98">
        <f t="shared" si="5"/>
        <v>10.63</v>
      </c>
      <c r="AK16" s="98">
        <v>9</v>
      </c>
      <c r="AL16" s="98">
        <v>4</v>
      </c>
      <c r="AM16" s="98">
        <v>7.37</v>
      </c>
      <c r="AN16" s="98"/>
      <c r="AO16" s="98"/>
      <c r="AP16" s="93">
        <v>6</v>
      </c>
      <c r="AQ16" s="98"/>
      <c r="AR16" s="98"/>
      <c r="AS16" s="98">
        <f t="shared" si="3"/>
        <v>1.37</v>
      </c>
      <c r="AT16" s="99" t="s">
        <v>53</v>
      </c>
    </row>
    <row r="17" ht="34" customHeight="1" spans="1:46">
      <c r="A17" s="92">
        <f t="shared" si="4"/>
        <v>14</v>
      </c>
      <c r="B17" s="93" t="s">
        <v>54</v>
      </c>
      <c r="C17" s="94" t="s">
        <v>46</v>
      </c>
      <c r="D17" s="95" t="s">
        <v>23</v>
      </c>
      <c r="E17" s="95" t="s">
        <v>23</v>
      </c>
      <c r="F17" s="95" t="s">
        <v>23</v>
      </c>
      <c r="G17" s="95" t="s">
        <v>24</v>
      </c>
      <c r="H17" s="95" t="s">
        <v>24</v>
      </c>
      <c r="I17" s="95" t="s">
        <v>23</v>
      </c>
      <c r="J17" s="95" t="s">
        <v>24</v>
      </c>
      <c r="K17" s="95" t="s">
        <v>24</v>
      </c>
      <c r="L17" s="97" t="s">
        <v>26</v>
      </c>
      <c r="M17" s="97" t="s">
        <v>26</v>
      </c>
      <c r="N17" s="97" t="s">
        <v>26</v>
      </c>
      <c r="O17" s="95" t="s">
        <v>24</v>
      </c>
      <c r="P17" s="97" t="s">
        <v>26</v>
      </c>
      <c r="Q17" s="97" t="s">
        <v>26</v>
      </c>
      <c r="R17" s="97" t="s">
        <v>26</v>
      </c>
      <c r="S17" s="97" t="s">
        <v>26</v>
      </c>
      <c r="T17" s="97" t="s">
        <v>26</v>
      </c>
      <c r="U17" s="95" t="s">
        <v>24</v>
      </c>
      <c r="V17" s="95" t="s">
        <v>24</v>
      </c>
      <c r="W17" s="97" t="s">
        <v>26</v>
      </c>
      <c r="X17" s="97" t="s">
        <v>26</v>
      </c>
      <c r="Y17" s="97" t="s">
        <v>26</v>
      </c>
      <c r="Z17" s="97" t="s">
        <v>26</v>
      </c>
      <c r="AA17" s="97" t="s">
        <v>26</v>
      </c>
      <c r="AB17" s="95" t="s">
        <v>24</v>
      </c>
      <c r="AC17" s="95" t="s">
        <v>24</v>
      </c>
      <c r="AD17" s="97" t="s">
        <v>26</v>
      </c>
      <c r="AE17" s="97" t="s">
        <v>26</v>
      </c>
      <c r="AF17" s="97" t="s">
        <v>26</v>
      </c>
      <c r="AG17" s="97" t="s">
        <v>26</v>
      </c>
      <c r="AH17" s="97" t="s">
        <v>26</v>
      </c>
      <c r="AI17" s="98">
        <f t="shared" si="1"/>
        <v>31</v>
      </c>
      <c r="AJ17" s="98">
        <f t="shared" si="5"/>
        <v>18</v>
      </c>
      <c r="AK17" s="98">
        <v>9</v>
      </c>
      <c r="AL17" s="98">
        <v>4</v>
      </c>
      <c r="AM17" s="98">
        <v>0</v>
      </c>
      <c r="AN17" s="98"/>
      <c r="AO17" s="98"/>
      <c r="AP17" s="98"/>
      <c r="AQ17" s="98"/>
      <c r="AR17" s="98"/>
      <c r="AS17" s="98">
        <f t="shared" si="3"/>
        <v>0</v>
      </c>
      <c r="AT17" s="99"/>
    </row>
    <row r="18" customFormat="1" ht="34" customHeight="1" spans="1:46">
      <c r="A18" s="92">
        <f t="shared" si="4"/>
        <v>15</v>
      </c>
      <c r="B18" s="93" t="s">
        <v>55</v>
      </c>
      <c r="C18" s="94" t="s">
        <v>56</v>
      </c>
      <c r="D18" s="95" t="s">
        <v>23</v>
      </c>
      <c r="E18" s="95" t="s">
        <v>23</v>
      </c>
      <c r="F18" s="95" t="s">
        <v>23</v>
      </c>
      <c r="G18" s="95" t="s">
        <v>24</v>
      </c>
      <c r="H18" s="95" t="s">
        <v>24</v>
      </c>
      <c r="I18" s="95" t="s">
        <v>23</v>
      </c>
      <c r="J18" s="95" t="s">
        <v>24</v>
      </c>
      <c r="K18" s="95" t="s">
        <v>24</v>
      </c>
      <c r="L18" s="97" t="s">
        <v>26</v>
      </c>
      <c r="M18" s="97" t="s">
        <v>26</v>
      </c>
      <c r="N18" s="97" t="s">
        <v>26</v>
      </c>
      <c r="O18" s="95" t="s">
        <v>24</v>
      </c>
      <c r="P18" s="97" t="s">
        <v>26</v>
      </c>
      <c r="Q18" s="97" t="s">
        <v>26</v>
      </c>
      <c r="R18" s="97" t="s">
        <v>26</v>
      </c>
      <c r="S18" s="97" t="s">
        <v>26</v>
      </c>
      <c r="T18" s="97" t="s">
        <v>26</v>
      </c>
      <c r="U18" s="95" t="s">
        <v>24</v>
      </c>
      <c r="V18" s="95" t="s">
        <v>24</v>
      </c>
      <c r="W18" s="97" t="s">
        <v>26</v>
      </c>
      <c r="X18" s="97" t="s">
        <v>26</v>
      </c>
      <c r="Y18" s="97" t="s">
        <v>26</v>
      </c>
      <c r="Z18" s="97" t="s">
        <v>26</v>
      </c>
      <c r="AA18" s="97" t="s">
        <v>26</v>
      </c>
      <c r="AB18" s="95" t="s">
        <v>24</v>
      </c>
      <c r="AC18" s="95" t="s">
        <v>24</v>
      </c>
      <c r="AD18" s="97" t="s">
        <v>26</v>
      </c>
      <c r="AE18" s="97" t="s">
        <v>26</v>
      </c>
      <c r="AF18" s="97" t="s">
        <v>26</v>
      </c>
      <c r="AG18" s="97" t="s">
        <v>26</v>
      </c>
      <c r="AH18" s="97" t="s">
        <v>26</v>
      </c>
      <c r="AI18" s="98">
        <f t="shared" si="1"/>
        <v>31</v>
      </c>
      <c r="AJ18" s="98">
        <f t="shared" si="5"/>
        <v>18</v>
      </c>
      <c r="AK18" s="98">
        <v>9</v>
      </c>
      <c r="AL18" s="98">
        <v>4</v>
      </c>
      <c r="AM18" s="98">
        <v>0</v>
      </c>
      <c r="AN18" s="98"/>
      <c r="AO18" s="98"/>
      <c r="AP18" s="98"/>
      <c r="AQ18" s="98"/>
      <c r="AR18" s="98"/>
      <c r="AS18" s="98">
        <f t="shared" si="3"/>
        <v>0</v>
      </c>
      <c r="AT18" s="99"/>
    </row>
    <row r="19" ht="34" customHeight="1" spans="1:46">
      <c r="A19" s="92">
        <f t="shared" si="4"/>
        <v>16</v>
      </c>
      <c r="B19" s="93" t="s">
        <v>57</v>
      </c>
      <c r="C19" s="94" t="s">
        <v>56</v>
      </c>
      <c r="D19" s="95" t="s">
        <v>23</v>
      </c>
      <c r="E19" s="95" t="s">
        <v>23</v>
      </c>
      <c r="F19" s="95" t="s">
        <v>23</v>
      </c>
      <c r="G19" s="95" t="s">
        <v>24</v>
      </c>
      <c r="H19" s="95" t="s">
        <v>24</v>
      </c>
      <c r="I19" s="95" t="s">
        <v>23</v>
      </c>
      <c r="J19" s="95" t="s">
        <v>24</v>
      </c>
      <c r="K19" s="95" t="s">
        <v>24</v>
      </c>
      <c r="L19" s="97" t="s">
        <v>26</v>
      </c>
      <c r="M19" s="97" t="s">
        <v>26</v>
      </c>
      <c r="N19" s="97" t="s">
        <v>26</v>
      </c>
      <c r="O19" s="95" t="s">
        <v>24</v>
      </c>
      <c r="P19" s="100" t="s">
        <v>25</v>
      </c>
      <c r="Q19" s="97" t="s">
        <v>26</v>
      </c>
      <c r="R19" s="97" t="s">
        <v>26</v>
      </c>
      <c r="S19" s="97" t="s">
        <v>26</v>
      </c>
      <c r="T19" s="97" t="s">
        <v>26</v>
      </c>
      <c r="U19" s="95" t="s">
        <v>24</v>
      </c>
      <c r="V19" s="95" t="s">
        <v>24</v>
      </c>
      <c r="W19" s="97" t="s">
        <v>26</v>
      </c>
      <c r="X19" s="97" t="s">
        <v>26</v>
      </c>
      <c r="Y19" s="97" t="s">
        <v>26</v>
      </c>
      <c r="Z19" s="97" t="s">
        <v>26</v>
      </c>
      <c r="AA19" s="97" t="s">
        <v>26</v>
      </c>
      <c r="AB19" s="95" t="s">
        <v>24</v>
      </c>
      <c r="AC19" s="95" t="s">
        <v>24</v>
      </c>
      <c r="AD19" s="97" t="s">
        <v>26</v>
      </c>
      <c r="AE19" s="97" t="s">
        <v>26</v>
      </c>
      <c r="AF19" s="97" t="s">
        <v>26</v>
      </c>
      <c r="AG19" s="97" t="s">
        <v>26</v>
      </c>
      <c r="AH19" s="97" t="s">
        <v>26</v>
      </c>
      <c r="AI19" s="98">
        <f t="shared" si="1"/>
        <v>31</v>
      </c>
      <c r="AJ19" s="98">
        <f t="shared" si="5"/>
        <v>17</v>
      </c>
      <c r="AK19" s="98">
        <v>9</v>
      </c>
      <c r="AL19" s="98">
        <v>4</v>
      </c>
      <c r="AM19" s="98">
        <v>1</v>
      </c>
      <c r="AN19" s="98"/>
      <c r="AO19" s="98"/>
      <c r="AP19" s="98"/>
      <c r="AQ19" s="98"/>
      <c r="AR19" s="98"/>
      <c r="AS19" s="98">
        <f t="shared" si="3"/>
        <v>1</v>
      </c>
      <c r="AT19" s="99"/>
    </row>
    <row r="20" ht="34" customHeight="1" spans="1:46">
      <c r="A20" s="92">
        <f t="shared" si="4"/>
        <v>17</v>
      </c>
      <c r="B20" s="93" t="s">
        <v>58</v>
      </c>
      <c r="C20" s="94" t="s">
        <v>56</v>
      </c>
      <c r="D20" s="95" t="s">
        <v>23</v>
      </c>
      <c r="E20" s="95" t="s">
        <v>23</v>
      </c>
      <c r="F20" s="95" t="s">
        <v>23</v>
      </c>
      <c r="G20" s="95" t="s">
        <v>24</v>
      </c>
      <c r="H20" s="95" t="s">
        <v>24</v>
      </c>
      <c r="I20" s="95" t="s">
        <v>23</v>
      </c>
      <c r="J20" s="95" t="s">
        <v>24</v>
      </c>
      <c r="K20" s="95" t="s">
        <v>24</v>
      </c>
      <c r="L20" s="97" t="s">
        <v>26</v>
      </c>
      <c r="M20" s="97" t="s">
        <v>26</v>
      </c>
      <c r="N20" s="97" t="s">
        <v>26</v>
      </c>
      <c r="O20" s="95" t="s">
        <v>24</v>
      </c>
      <c r="P20" s="97" t="s">
        <v>26</v>
      </c>
      <c r="Q20" s="97" t="s">
        <v>26</v>
      </c>
      <c r="R20" s="97" t="s">
        <v>26</v>
      </c>
      <c r="S20" s="97" t="s">
        <v>26</v>
      </c>
      <c r="T20" s="97" t="s">
        <v>26</v>
      </c>
      <c r="U20" s="95" t="s">
        <v>24</v>
      </c>
      <c r="V20" s="95" t="s">
        <v>24</v>
      </c>
      <c r="W20" s="97" t="s">
        <v>26</v>
      </c>
      <c r="X20" s="97" t="s">
        <v>26</v>
      </c>
      <c r="Y20" s="97" t="s">
        <v>26</v>
      </c>
      <c r="Z20" s="97" t="s">
        <v>26</v>
      </c>
      <c r="AA20" s="97" t="s">
        <v>26</v>
      </c>
      <c r="AB20" s="95" t="s">
        <v>24</v>
      </c>
      <c r="AC20" s="95" t="s">
        <v>24</v>
      </c>
      <c r="AD20" s="97" t="s">
        <v>26</v>
      </c>
      <c r="AE20" s="97" t="s">
        <v>26</v>
      </c>
      <c r="AF20" s="97" t="s">
        <v>26</v>
      </c>
      <c r="AG20" s="97" t="s">
        <v>26</v>
      </c>
      <c r="AH20" s="97" t="s">
        <v>26</v>
      </c>
      <c r="AI20" s="98">
        <f t="shared" si="1"/>
        <v>31</v>
      </c>
      <c r="AJ20" s="98">
        <f t="shared" si="5"/>
        <v>18</v>
      </c>
      <c r="AK20" s="98">
        <v>9</v>
      </c>
      <c r="AL20" s="98">
        <v>4</v>
      </c>
      <c r="AM20" s="98">
        <v>0</v>
      </c>
      <c r="AN20" s="98"/>
      <c r="AO20" s="98"/>
      <c r="AP20" s="98"/>
      <c r="AQ20" s="98"/>
      <c r="AR20" s="98"/>
      <c r="AS20" s="98">
        <f t="shared" si="3"/>
        <v>0</v>
      </c>
      <c r="AT20" s="99"/>
    </row>
    <row r="21" customFormat="1" ht="34" customHeight="1" spans="1:46">
      <c r="A21" s="92">
        <f t="shared" ref="A21:A32" si="6">ROW()-3</f>
        <v>18</v>
      </c>
      <c r="B21" s="93" t="s">
        <v>59</v>
      </c>
      <c r="C21" s="94" t="s">
        <v>56</v>
      </c>
      <c r="D21" s="95" t="s">
        <v>23</v>
      </c>
      <c r="E21" s="95" t="s">
        <v>23</v>
      </c>
      <c r="F21" s="95" t="s">
        <v>23</v>
      </c>
      <c r="G21" s="95" t="s">
        <v>24</v>
      </c>
      <c r="H21" s="95" t="s">
        <v>24</v>
      </c>
      <c r="I21" s="95" t="s">
        <v>23</v>
      </c>
      <c r="J21" s="95" t="s">
        <v>24</v>
      </c>
      <c r="K21" s="95" t="s">
        <v>24</v>
      </c>
      <c r="L21" s="97" t="s">
        <v>26</v>
      </c>
      <c r="M21" s="97" t="s">
        <v>26</v>
      </c>
      <c r="N21" s="97" t="s">
        <v>26</v>
      </c>
      <c r="O21" s="95" t="s">
        <v>24</v>
      </c>
      <c r="P21" s="97" t="s">
        <v>26</v>
      </c>
      <c r="Q21" s="97" t="s">
        <v>26</v>
      </c>
      <c r="R21" s="97" t="s">
        <v>26</v>
      </c>
      <c r="S21" s="97" t="s">
        <v>26</v>
      </c>
      <c r="T21" s="97" t="s">
        <v>26</v>
      </c>
      <c r="U21" s="95" t="s">
        <v>24</v>
      </c>
      <c r="V21" s="95" t="s">
        <v>24</v>
      </c>
      <c r="W21" s="97" t="s">
        <v>26</v>
      </c>
      <c r="X21" s="97" t="s">
        <v>26</v>
      </c>
      <c r="Y21" s="97" t="s">
        <v>26</v>
      </c>
      <c r="Z21" s="97" t="s">
        <v>26</v>
      </c>
      <c r="AA21" s="97" t="s">
        <v>26</v>
      </c>
      <c r="AB21" s="95" t="s">
        <v>24</v>
      </c>
      <c r="AC21" s="95" t="s">
        <v>24</v>
      </c>
      <c r="AD21" s="97" t="s">
        <v>26</v>
      </c>
      <c r="AE21" s="97" t="s">
        <v>26</v>
      </c>
      <c r="AF21" s="97" t="s">
        <v>26</v>
      </c>
      <c r="AG21" s="97" t="s">
        <v>26</v>
      </c>
      <c r="AH21" s="97" t="s">
        <v>26</v>
      </c>
      <c r="AI21" s="98">
        <f t="shared" si="1"/>
        <v>31</v>
      </c>
      <c r="AJ21" s="98">
        <f t="shared" si="5"/>
        <v>18</v>
      </c>
      <c r="AK21" s="98">
        <v>9</v>
      </c>
      <c r="AL21" s="98">
        <v>4</v>
      </c>
      <c r="AM21" s="98">
        <v>0</v>
      </c>
      <c r="AN21" s="98"/>
      <c r="AO21" s="98"/>
      <c r="AP21" s="98"/>
      <c r="AQ21" s="98"/>
      <c r="AR21" s="98"/>
      <c r="AS21" s="98">
        <f t="shared" si="3"/>
        <v>0</v>
      </c>
      <c r="AT21" s="99"/>
    </row>
    <row r="22" customFormat="1" ht="34" customHeight="1" spans="1:46">
      <c r="A22" s="92">
        <f t="shared" si="6"/>
        <v>19</v>
      </c>
      <c r="B22" s="93" t="s">
        <v>60</v>
      </c>
      <c r="C22" s="94" t="s">
        <v>56</v>
      </c>
      <c r="D22" s="95" t="s">
        <v>23</v>
      </c>
      <c r="E22" s="95" t="s">
        <v>23</v>
      </c>
      <c r="F22" s="95" t="s">
        <v>23</v>
      </c>
      <c r="G22" s="95" t="s">
        <v>24</v>
      </c>
      <c r="H22" s="95" t="s">
        <v>24</v>
      </c>
      <c r="I22" s="95" t="s">
        <v>23</v>
      </c>
      <c r="J22" s="95" t="s">
        <v>24</v>
      </c>
      <c r="K22" s="95" t="s">
        <v>24</v>
      </c>
      <c r="L22" s="97" t="s">
        <v>26</v>
      </c>
      <c r="M22" s="97" t="s">
        <v>26</v>
      </c>
      <c r="N22" s="97" t="s">
        <v>26</v>
      </c>
      <c r="O22" s="95" t="s">
        <v>24</v>
      </c>
      <c r="P22" s="97" t="s">
        <v>26</v>
      </c>
      <c r="Q22" s="97" t="s">
        <v>26</v>
      </c>
      <c r="R22" s="97" t="s">
        <v>26</v>
      </c>
      <c r="S22" s="97" t="s">
        <v>26</v>
      </c>
      <c r="T22" s="97" t="s">
        <v>26</v>
      </c>
      <c r="U22" s="95" t="s">
        <v>24</v>
      </c>
      <c r="V22" s="95" t="s">
        <v>24</v>
      </c>
      <c r="W22" s="97" t="s">
        <v>26</v>
      </c>
      <c r="X22" s="97" t="s">
        <v>26</v>
      </c>
      <c r="Y22" s="97" t="s">
        <v>26</v>
      </c>
      <c r="Z22" s="97" t="s">
        <v>26</v>
      </c>
      <c r="AA22" s="97" t="s">
        <v>26</v>
      </c>
      <c r="AB22" s="95" t="s">
        <v>24</v>
      </c>
      <c r="AC22" s="95" t="s">
        <v>24</v>
      </c>
      <c r="AD22" s="97" t="s">
        <v>26</v>
      </c>
      <c r="AE22" s="97" t="s">
        <v>26</v>
      </c>
      <c r="AF22" s="97" t="s">
        <v>26</v>
      </c>
      <c r="AG22" s="97" t="s">
        <v>26</v>
      </c>
      <c r="AH22" s="97" t="s">
        <v>26</v>
      </c>
      <c r="AI22" s="98">
        <f t="shared" si="1"/>
        <v>31</v>
      </c>
      <c r="AJ22" s="98">
        <f t="shared" si="5"/>
        <v>18</v>
      </c>
      <c r="AK22" s="98">
        <v>9</v>
      </c>
      <c r="AL22" s="98">
        <v>4</v>
      </c>
      <c r="AM22" s="98">
        <v>0</v>
      </c>
      <c r="AN22" s="98"/>
      <c r="AO22" s="98"/>
      <c r="AP22" s="98"/>
      <c r="AQ22" s="98"/>
      <c r="AR22" s="98"/>
      <c r="AS22" s="98">
        <f t="shared" si="3"/>
        <v>0</v>
      </c>
      <c r="AT22" s="99"/>
    </row>
    <row r="23" customFormat="1" ht="34" customHeight="1" spans="1:46">
      <c r="A23" s="92">
        <f t="shared" si="6"/>
        <v>20</v>
      </c>
      <c r="B23" s="93" t="s">
        <v>61</v>
      </c>
      <c r="C23" s="94" t="s">
        <v>56</v>
      </c>
      <c r="D23" s="95" t="s">
        <v>23</v>
      </c>
      <c r="E23" s="95" t="s">
        <v>23</v>
      </c>
      <c r="F23" s="95" t="s">
        <v>23</v>
      </c>
      <c r="G23" s="95" t="s">
        <v>24</v>
      </c>
      <c r="H23" s="95" t="s">
        <v>24</v>
      </c>
      <c r="I23" s="95" t="s">
        <v>23</v>
      </c>
      <c r="J23" s="95" t="s">
        <v>24</v>
      </c>
      <c r="K23" s="95" t="s">
        <v>24</v>
      </c>
      <c r="L23" s="97" t="s">
        <v>26</v>
      </c>
      <c r="M23" s="97" t="s">
        <v>26</v>
      </c>
      <c r="N23" s="97" t="s">
        <v>26</v>
      </c>
      <c r="O23" s="95" t="s">
        <v>24</v>
      </c>
      <c r="P23" s="97" t="s">
        <v>26</v>
      </c>
      <c r="Q23" s="97" t="s">
        <v>26</v>
      </c>
      <c r="R23" s="97" t="s">
        <v>26</v>
      </c>
      <c r="S23" s="97" t="s">
        <v>26</v>
      </c>
      <c r="T23" s="97" t="s">
        <v>26</v>
      </c>
      <c r="U23" s="95" t="s">
        <v>24</v>
      </c>
      <c r="V23" s="95" t="s">
        <v>24</v>
      </c>
      <c r="W23" s="97" t="s">
        <v>26</v>
      </c>
      <c r="X23" s="97" t="s">
        <v>26</v>
      </c>
      <c r="Y23" s="97" t="s">
        <v>26</v>
      </c>
      <c r="Z23" s="97" t="s">
        <v>26</v>
      </c>
      <c r="AA23" s="97" t="s">
        <v>26</v>
      </c>
      <c r="AB23" s="95" t="s">
        <v>24</v>
      </c>
      <c r="AC23" s="95" t="s">
        <v>24</v>
      </c>
      <c r="AD23" s="97" t="s">
        <v>26</v>
      </c>
      <c r="AE23" s="97" t="s">
        <v>26</v>
      </c>
      <c r="AF23" s="97" t="s">
        <v>26</v>
      </c>
      <c r="AG23" s="97" t="s">
        <v>26</v>
      </c>
      <c r="AH23" s="97" t="s">
        <v>26</v>
      </c>
      <c r="AI23" s="98">
        <f t="shared" si="1"/>
        <v>31</v>
      </c>
      <c r="AJ23" s="98">
        <f t="shared" si="5"/>
        <v>18</v>
      </c>
      <c r="AK23" s="98">
        <v>9</v>
      </c>
      <c r="AL23" s="98">
        <v>4</v>
      </c>
      <c r="AM23" s="98">
        <v>0</v>
      </c>
      <c r="AN23" s="98"/>
      <c r="AO23" s="98"/>
      <c r="AP23" s="98"/>
      <c r="AQ23" s="98"/>
      <c r="AR23" s="98"/>
      <c r="AS23" s="98">
        <f t="shared" si="3"/>
        <v>0</v>
      </c>
      <c r="AT23" s="99"/>
    </row>
    <row r="24" ht="34" customHeight="1" spans="1:46">
      <c r="A24" s="92">
        <f t="shared" si="6"/>
        <v>21</v>
      </c>
      <c r="B24" s="93" t="s">
        <v>62</v>
      </c>
      <c r="C24" s="94" t="s">
        <v>63</v>
      </c>
      <c r="D24" s="95" t="s">
        <v>23</v>
      </c>
      <c r="E24" s="95" t="s">
        <v>23</v>
      </c>
      <c r="F24" s="95" t="s">
        <v>23</v>
      </c>
      <c r="G24" s="95" t="s">
        <v>24</v>
      </c>
      <c r="H24" s="95" t="s">
        <v>24</v>
      </c>
      <c r="I24" s="95" t="s">
        <v>23</v>
      </c>
      <c r="J24" s="95" t="s">
        <v>24</v>
      </c>
      <c r="K24" s="95" t="s">
        <v>24</v>
      </c>
      <c r="L24" s="97" t="s">
        <v>26</v>
      </c>
      <c r="M24" s="97" t="s">
        <v>26</v>
      </c>
      <c r="N24" s="97" t="s">
        <v>26</v>
      </c>
      <c r="O24" s="95" t="s">
        <v>24</v>
      </c>
      <c r="P24" s="97" t="s">
        <v>26</v>
      </c>
      <c r="Q24" s="97" t="s">
        <v>26</v>
      </c>
      <c r="R24" s="97" t="s">
        <v>26</v>
      </c>
      <c r="S24" s="97" t="s">
        <v>26</v>
      </c>
      <c r="T24" s="97" t="s">
        <v>26</v>
      </c>
      <c r="U24" s="95" t="s">
        <v>24</v>
      </c>
      <c r="V24" s="95" t="s">
        <v>24</v>
      </c>
      <c r="W24" s="97" t="s">
        <v>26</v>
      </c>
      <c r="X24" s="97" t="s">
        <v>26</v>
      </c>
      <c r="Y24" s="97" t="s">
        <v>26</v>
      </c>
      <c r="Z24" s="97" t="s">
        <v>26</v>
      </c>
      <c r="AA24" s="97" t="s">
        <v>26</v>
      </c>
      <c r="AB24" s="95" t="s">
        <v>24</v>
      </c>
      <c r="AC24" s="95" t="s">
        <v>24</v>
      </c>
      <c r="AD24" s="97" t="s">
        <v>26</v>
      </c>
      <c r="AE24" s="97" t="s">
        <v>26</v>
      </c>
      <c r="AF24" s="97" t="s">
        <v>26</v>
      </c>
      <c r="AG24" s="97" t="s">
        <v>26</v>
      </c>
      <c r="AH24" s="97" t="s">
        <v>26</v>
      </c>
      <c r="AI24" s="98">
        <f t="shared" si="1"/>
        <v>31</v>
      </c>
      <c r="AJ24" s="98">
        <f t="shared" si="5"/>
        <v>18</v>
      </c>
      <c r="AK24" s="98">
        <v>9</v>
      </c>
      <c r="AL24" s="98">
        <v>4</v>
      </c>
      <c r="AM24" s="98">
        <v>0</v>
      </c>
      <c r="AN24" s="98"/>
      <c r="AO24" s="98"/>
      <c r="AP24" s="98"/>
      <c r="AQ24" s="98"/>
      <c r="AR24" s="98"/>
      <c r="AS24" s="98">
        <f t="shared" si="3"/>
        <v>0</v>
      </c>
      <c r="AT24" s="99"/>
    </row>
    <row r="25" ht="34" customHeight="1" spans="1:46">
      <c r="A25" s="92">
        <f t="shared" si="6"/>
        <v>22</v>
      </c>
      <c r="B25" s="93" t="s">
        <v>64</v>
      </c>
      <c r="C25" s="94" t="s">
        <v>63</v>
      </c>
      <c r="D25" s="95" t="s">
        <v>23</v>
      </c>
      <c r="E25" s="95" t="s">
        <v>23</v>
      </c>
      <c r="F25" s="95" t="s">
        <v>23</v>
      </c>
      <c r="G25" s="95" t="s">
        <v>24</v>
      </c>
      <c r="H25" s="95" t="s">
        <v>24</v>
      </c>
      <c r="I25" s="95" t="s">
        <v>23</v>
      </c>
      <c r="J25" s="95" t="s">
        <v>24</v>
      </c>
      <c r="K25" s="95" t="s">
        <v>24</v>
      </c>
      <c r="L25" s="100" t="s">
        <v>25</v>
      </c>
      <c r="M25" s="100" t="s">
        <v>25</v>
      </c>
      <c r="N25" s="97" t="s">
        <v>26</v>
      </c>
      <c r="O25" s="95" t="s">
        <v>24</v>
      </c>
      <c r="P25" s="97" t="s">
        <v>26</v>
      </c>
      <c r="Q25" s="97" t="s">
        <v>26</v>
      </c>
      <c r="R25" s="97" t="s">
        <v>26</v>
      </c>
      <c r="S25" s="97" t="s">
        <v>26</v>
      </c>
      <c r="T25" s="97" t="s">
        <v>26</v>
      </c>
      <c r="U25" s="95" t="s">
        <v>24</v>
      </c>
      <c r="V25" s="95" t="s">
        <v>24</v>
      </c>
      <c r="W25" s="97" t="s">
        <v>26</v>
      </c>
      <c r="X25" s="97" t="s">
        <v>26</v>
      </c>
      <c r="Y25" s="97" t="s">
        <v>26</v>
      </c>
      <c r="Z25" s="97" t="s">
        <v>26</v>
      </c>
      <c r="AA25" s="97" t="s">
        <v>26</v>
      </c>
      <c r="AB25" s="95" t="s">
        <v>24</v>
      </c>
      <c r="AC25" s="95" t="s">
        <v>24</v>
      </c>
      <c r="AD25" s="97" t="s">
        <v>26</v>
      </c>
      <c r="AE25" s="97" t="s">
        <v>26</v>
      </c>
      <c r="AF25" s="97" t="s">
        <v>26</v>
      </c>
      <c r="AG25" s="97" t="s">
        <v>26</v>
      </c>
      <c r="AH25" s="97" t="s">
        <v>26</v>
      </c>
      <c r="AI25" s="98">
        <f t="shared" si="1"/>
        <v>31</v>
      </c>
      <c r="AJ25" s="98">
        <f t="shared" si="5"/>
        <v>16</v>
      </c>
      <c r="AK25" s="98">
        <v>9</v>
      </c>
      <c r="AL25" s="98">
        <v>4</v>
      </c>
      <c r="AM25" s="98">
        <v>2</v>
      </c>
      <c r="AN25" s="98"/>
      <c r="AO25" s="98"/>
      <c r="AP25" s="98"/>
      <c r="AQ25" s="98"/>
      <c r="AR25" s="98"/>
      <c r="AS25" s="98">
        <f t="shared" si="3"/>
        <v>2</v>
      </c>
      <c r="AT25" s="99"/>
    </row>
    <row r="26" ht="34" customHeight="1" spans="1:46">
      <c r="A26" s="92">
        <f t="shared" si="6"/>
        <v>23</v>
      </c>
      <c r="B26" s="93" t="s">
        <v>65</v>
      </c>
      <c r="C26" s="94" t="s">
        <v>66</v>
      </c>
      <c r="D26" s="95" t="s">
        <v>23</v>
      </c>
      <c r="E26" s="95" t="s">
        <v>23</v>
      </c>
      <c r="F26" s="95" t="s">
        <v>23</v>
      </c>
      <c r="G26" s="95" t="s">
        <v>24</v>
      </c>
      <c r="H26" s="95" t="s">
        <v>24</v>
      </c>
      <c r="I26" s="95" t="s">
        <v>23</v>
      </c>
      <c r="J26" s="95" t="s">
        <v>24</v>
      </c>
      <c r="K26" s="95" t="s">
        <v>24</v>
      </c>
      <c r="L26" s="97" t="s">
        <v>26</v>
      </c>
      <c r="M26" s="97" t="s">
        <v>26</v>
      </c>
      <c r="N26" s="97" t="s">
        <v>26</v>
      </c>
      <c r="O26" s="95" t="s">
        <v>24</v>
      </c>
      <c r="P26" s="97" t="s">
        <v>26</v>
      </c>
      <c r="Q26" s="97" t="s">
        <v>26</v>
      </c>
      <c r="R26" s="97" t="s">
        <v>26</v>
      </c>
      <c r="S26" s="97" t="s">
        <v>26</v>
      </c>
      <c r="T26" s="97" t="s">
        <v>26</v>
      </c>
      <c r="U26" s="95" t="s">
        <v>24</v>
      </c>
      <c r="V26" s="95" t="s">
        <v>24</v>
      </c>
      <c r="W26" s="97" t="s">
        <v>26</v>
      </c>
      <c r="X26" s="97" t="s">
        <v>26</v>
      </c>
      <c r="Y26" s="97" t="s">
        <v>26</v>
      </c>
      <c r="Z26" s="97" t="s">
        <v>26</v>
      </c>
      <c r="AA26" s="97" t="s">
        <v>26</v>
      </c>
      <c r="AB26" s="95" t="s">
        <v>24</v>
      </c>
      <c r="AC26" s="95" t="s">
        <v>24</v>
      </c>
      <c r="AD26" s="97" t="s">
        <v>26</v>
      </c>
      <c r="AE26" s="97" t="s">
        <v>26</v>
      </c>
      <c r="AF26" s="97" t="s">
        <v>26</v>
      </c>
      <c r="AG26" s="97" t="s">
        <v>26</v>
      </c>
      <c r="AH26" s="97" t="s">
        <v>26</v>
      </c>
      <c r="AI26" s="98">
        <f t="shared" si="1"/>
        <v>31</v>
      </c>
      <c r="AJ26" s="98">
        <f t="shared" si="5"/>
        <v>18</v>
      </c>
      <c r="AK26" s="98">
        <v>9</v>
      </c>
      <c r="AL26" s="98">
        <v>4</v>
      </c>
      <c r="AM26" s="98">
        <v>0</v>
      </c>
      <c r="AN26" s="98"/>
      <c r="AO26" s="98"/>
      <c r="AP26" s="98"/>
      <c r="AQ26" s="98"/>
      <c r="AR26" s="98"/>
      <c r="AS26" s="98">
        <f t="shared" si="3"/>
        <v>0</v>
      </c>
      <c r="AT26" s="99"/>
    </row>
    <row r="27" ht="34" customHeight="1" spans="1:46">
      <c r="A27" s="92">
        <f t="shared" si="6"/>
        <v>24</v>
      </c>
      <c r="B27" s="93" t="s">
        <v>67</v>
      </c>
      <c r="C27" s="94" t="s">
        <v>66</v>
      </c>
      <c r="D27" s="95" t="s">
        <v>23</v>
      </c>
      <c r="E27" s="95" t="s">
        <v>23</v>
      </c>
      <c r="F27" s="95" t="s">
        <v>23</v>
      </c>
      <c r="G27" s="95" t="s">
        <v>24</v>
      </c>
      <c r="H27" s="95" t="s">
        <v>24</v>
      </c>
      <c r="I27" s="95" t="s">
        <v>23</v>
      </c>
      <c r="J27" s="95" t="s">
        <v>24</v>
      </c>
      <c r="K27" s="95" t="s">
        <v>24</v>
      </c>
      <c r="L27" s="97" t="s">
        <v>26</v>
      </c>
      <c r="M27" s="97" t="s">
        <v>26</v>
      </c>
      <c r="N27" s="97" t="s">
        <v>26</v>
      </c>
      <c r="O27" s="95" t="s">
        <v>24</v>
      </c>
      <c r="P27" s="97" t="s">
        <v>26</v>
      </c>
      <c r="Q27" s="97" t="s">
        <v>26</v>
      </c>
      <c r="R27" s="97" t="s">
        <v>26</v>
      </c>
      <c r="S27" s="97" t="s">
        <v>26</v>
      </c>
      <c r="T27" s="97" t="s">
        <v>26</v>
      </c>
      <c r="U27" s="95" t="s">
        <v>24</v>
      </c>
      <c r="V27" s="95" t="s">
        <v>24</v>
      </c>
      <c r="W27" s="97" t="s">
        <v>26</v>
      </c>
      <c r="X27" s="97" t="s">
        <v>26</v>
      </c>
      <c r="Y27" s="97" t="s">
        <v>26</v>
      </c>
      <c r="Z27" s="97" t="s">
        <v>26</v>
      </c>
      <c r="AA27" s="97" t="s">
        <v>26</v>
      </c>
      <c r="AB27" s="95" t="s">
        <v>24</v>
      </c>
      <c r="AC27" s="95" t="s">
        <v>24</v>
      </c>
      <c r="AD27" s="97" t="s">
        <v>26</v>
      </c>
      <c r="AE27" s="97" t="s">
        <v>26</v>
      </c>
      <c r="AF27" s="97" t="s">
        <v>26</v>
      </c>
      <c r="AG27" s="97" t="s">
        <v>26</v>
      </c>
      <c r="AH27" s="97" t="s">
        <v>26</v>
      </c>
      <c r="AI27" s="98">
        <f t="shared" si="1"/>
        <v>31</v>
      </c>
      <c r="AJ27" s="98">
        <f t="shared" si="5"/>
        <v>18</v>
      </c>
      <c r="AK27" s="98">
        <v>9</v>
      </c>
      <c r="AL27" s="98">
        <v>4</v>
      </c>
      <c r="AM27" s="98">
        <v>0</v>
      </c>
      <c r="AN27" s="98"/>
      <c r="AO27" s="98"/>
      <c r="AP27" s="98"/>
      <c r="AQ27" s="98"/>
      <c r="AR27" s="98"/>
      <c r="AS27" s="98">
        <f t="shared" si="3"/>
        <v>0</v>
      </c>
      <c r="AT27" s="99"/>
    </row>
    <row r="28" customFormat="1" ht="34" customHeight="1" spans="1:46">
      <c r="A28" s="92">
        <f t="shared" si="6"/>
        <v>25</v>
      </c>
      <c r="B28" s="93" t="s">
        <v>68</v>
      </c>
      <c r="C28" s="94" t="s">
        <v>66</v>
      </c>
      <c r="D28" s="95" t="s">
        <v>23</v>
      </c>
      <c r="E28" s="95" t="s">
        <v>23</v>
      </c>
      <c r="F28" s="95" t="s">
        <v>23</v>
      </c>
      <c r="G28" s="95" t="s">
        <v>24</v>
      </c>
      <c r="H28" s="95" t="s">
        <v>24</v>
      </c>
      <c r="I28" s="95" t="s">
        <v>23</v>
      </c>
      <c r="J28" s="95" t="s">
        <v>24</v>
      </c>
      <c r="K28" s="95" t="s">
        <v>24</v>
      </c>
      <c r="L28" s="97" t="s">
        <v>26</v>
      </c>
      <c r="M28" s="97" t="s">
        <v>26</v>
      </c>
      <c r="N28" s="97" t="s">
        <v>26</v>
      </c>
      <c r="O28" s="95" t="s">
        <v>24</v>
      </c>
      <c r="P28" s="97" t="s">
        <v>26</v>
      </c>
      <c r="Q28" s="97" t="s">
        <v>26</v>
      </c>
      <c r="R28" s="97" t="s">
        <v>26</v>
      </c>
      <c r="S28" s="97" t="s">
        <v>26</v>
      </c>
      <c r="T28" s="97" t="s">
        <v>26</v>
      </c>
      <c r="U28" s="95" t="s">
        <v>24</v>
      </c>
      <c r="V28" s="95" t="s">
        <v>24</v>
      </c>
      <c r="W28" s="97" t="s">
        <v>26</v>
      </c>
      <c r="X28" s="97" t="s">
        <v>26</v>
      </c>
      <c r="Y28" s="97" t="s">
        <v>26</v>
      </c>
      <c r="Z28" s="97" t="s">
        <v>26</v>
      </c>
      <c r="AA28" s="97" t="s">
        <v>26</v>
      </c>
      <c r="AB28" s="95" t="s">
        <v>24</v>
      </c>
      <c r="AC28" s="95" t="s">
        <v>24</v>
      </c>
      <c r="AD28" s="97" t="s">
        <v>26</v>
      </c>
      <c r="AE28" s="97" t="s">
        <v>26</v>
      </c>
      <c r="AF28" s="97" t="s">
        <v>26</v>
      </c>
      <c r="AG28" s="97" t="s">
        <v>26</v>
      </c>
      <c r="AH28" s="97" t="s">
        <v>26</v>
      </c>
      <c r="AI28" s="98">
        <f t="shared" si="1"/>
        <v>31</v>
      </c>
      <c r="AJ28" s="98">
        <f t="shared" si="5"/>
        <v>18</v>
      </c>
      <c r="AK28" s="98">
        <v>9</v>
      </c>
      <c r="AL28" s="98">
        <v>4</v>
      </c>
      <c r="AM28" s="98">
        <v>0</v>
      </c>
      <c r="AN28" s="98"/>
      <c r="AO28" s="98"/>
      <c r="AP28" s="98"/>
      <c r="AQ28" s="98"/>
      <c r="AR28" s="98"/>
      <c r="AS28" s="98">
        <f t="shared" si="3"/>
        <v>0</v>
      </c>
      <c r="AT28" s="99"/>
    </row>
    <row r="29" ht="34" customHeight="1" spans="1:46">
      <c r="A29" s="92">
        <f t="shared" si="6"/>
        <v>26</v>
      </c>
      <c r="B29" s="93" t="s">
        <v>69</v>
      </c>
      <c r="C29" s="94" t="s">
        <v>66</v>
      </c>
      <c r="D29" s="95" t="s">
        <v>23</v>
      </c>
      <c r="E29" s="95" t="s">
        <v>23</v>
      </c>
      <c r="F29" s="95" t="s">
        <v>23</v>
      </c>
      <c r="G29" s="95" t="s">
        <v>24</v>
      </c>
      <c r="H29" s="95" t="s">
        <v>24</v>
      </c>
      <c r="I29" s="95" t="s">
        <v>23</v>
      </c>
      <c r="J29" s="95" t="s">
        <v>24</v>
      </c>
      <c r="K29" s="95" t="s">
        <v>24</v>
      </c>
      <c r="L29" s="97" t="s">
        <v>26</v>
      </c>
      <c r="M29" s="97" t="s">
        <v>26</v>
      </c>
      <c r="N29" s="97" t="s">
        <v>26</v>
      </c>
      <c r="O29" s="95" t="s">
        <v>24</v>
      </c>
      <c r="P29" s="97" t="s">
        <v>26</v>
      </c>
      <c r="Q29" s="97" t="s">
        <v>26</v>
      </c>
      <c r="R29" s="97" t="s">
        <v>26</v>
      </c>
      <c r="S29" s="97" t="s">
        <v>26</v>
      </c>
      <c r="T29" s="97" t="s">
        <v>26</v>
      </c>
      <c r="U29" s="95" t="s">
        <v>24</v>
      </c>
      <c r="V29" s="95" t="s">
        <v>24</v>
      </c>
      <c r="W29" s="97" t="s">
        <v>26</v>
      </c>
      <c r="X29" s="97" t="s">
        <v>26</v>
      </c>
      <c r="Y29" s="96" t="s">
        <v>70</v>
      </c>
      <c r="Z29" s="97" t="s">
        <v>26</v>
      </c>
      <c r="AA29" s="97" t="s">
        <v>26</v>
      </c>
      <c r="AB29" s="95" t="s">
        <v>24</v>
      </c>
      <c r="AC29" s="95" t="s">
        <v>24</v>
      </c>
      <c r="AD29" s="97" t="s">
        <v>26</v>
      </c>
      <c r="AE29" s="97" t="s">
        <v>26</v>
      </c>
      <c r="AF29" s="97" t="s">
        <v>26</v>
      </c>
      <c r="AG29" s="97" t="s">
        <v>26</v>
      </c>
      <c r="AH29" s="97" t="s">
        <v>26</v>
      </c>
      <c r="AI29" s="98">
        <f t="shared" si="1"/>
        <v>31</v>
      </c>
      <c r="AJ29" s="98">
        <f t="shared" si="5"/>
        <v>17.87</v>
      </c>
      <c r="AK29" s="98">
        <v>9</v>
      </c>
      <c r="AL29" s="98">
        <v>4</v>
      </c>
      <c r="AM29" s="98">
        <v>0.13</v>
      </c>
      <c r="AN29" s="98"/>
      <c r="AO29" s="98">
        <v>0.13</v>
      </c>
      <c r="AP29" s="98"/>
      <c r="AQ29" s="98"/>
      <c r="AR29" s="98"/>
      <c r="AS29" s="98">
        <f t="shared" si="3"/>
        <v>0</v>
      </c>
      <c r="AT29" s="99" t="s">
        <v>71</v>
      </c>
    </row>
    <row r="30" ht="34" customHeight="1" spans="1:46">
      <c r="A30" s="92">
        <f t="shared" si="6"/>
        <v>27</v>
      </c>
      <c r="B30" s="106" t="s">
        <v>72</v>
      </c>
      <c r="C30" s="94" t="s">
        <v>66</v>
      </c>
      <c r="D30" s="95" t="s">
        <v>23</v>
      </c>
      <c r="E30" s="95" t="s">
        <v>23</v>
      </c>
      <c r="F30" s="95" t="s">
        <v>23</v>
      </c>
      <c r="G30" s="95" t="s">
        <v>24</v>
      </c>
      <c r="H30" s="95" t="s">
        <v>24</v>
      </c>
      <c r="I30" s="95" t="s">
        <v>23</v>
      </c>
      <c r="J30" s="95" t="s">
        <v>24</v>
      </c>
      <c r="K30" s="95" t="s">
        <v>24</v>
      </c>
      <c r="L30" s="97" t="s">
        <v>26</v>
      </c>
      <c r="M30" s="97" t="s">
        <v>26</v>
      </c>
      <c r="N30" s="97" t="s">
        <v>26</v>
      </c>
      <c r="O30" s="95" t="s">
        <v>24</v>
      </c>
      <c r="P30" s="97" t="s">
        <v>26</v>
      </c>
      <c r="Q30" s="97" t="s">
        <v>26</v>
      </c>
      <c r="R30" s="97" t="s">
        <v>26</v>
      </c>
      <c r="S30" s="97" t="s">
        <v>26</v>
      </c>
      <c r="T30" s="97" t="s">
        <v>26</v>
      </c>
      <c r="U30" s="95" t="s">
        <v>24</v>
      </c>
      <c r="V30" s="95" t="s">
        <v>24</v>
      </c>
      <c r="W30" s="100" t="s">
        <v>25</v>
      </c>
      <c r="X30" s="97" t="s">
        <v>26</v>
      </c>
      <c r="Y30" s="97" t="s">
        <v>26</v>
      </c>
      <c r="Z30" s="97" t="s">
        <v>26</v>
      </c>
      <c r="AA30" s="97" t="s">
        <v>26</v>
      </c>
      <c r="AB30" s="95" t="s">
        <v>24</v>
      </c>
      <c r="AC30" s="95" t="s">
        <v>24</v>
      </c>
      <c r="AD30" s="97" t="s">
        <v>26</v>
      </c>
      <c r="AE30" s="97" t="s">
        <v>26</v>
      </c>
      <c r="AF30" s="100" t="s">
        <v>25</v>
      </c>
      <c r="AG30" s="97" t="s">
        <v>26</v>
      </c>
      <c r="AH30" s="102" t="s">
        <v>34</v>
      </c>
      <c r="AI30" s="98">
        <f t="shared" si="1"/>
        <v>31</v>
      </c>
      <c r="AJ30" s="98">
        <f t="shared" si="5"/>
        <v>15</v>
      </c>
      <c r="AK30" s="98">
        <v>9</v>
      </c>
      <c r="AL30" s="98">
        <v>4</v>
      </c>
      <c r="AM30" s="98">
        <v>3</v>
      </c>
      <c r="AN30" s="98"/>
      <c r="AO30" s="98"/>
      <c r="AP30" s="98"/>
      <c r="AQ30" s="98"/>
      <c r="AR30" s="98"/>
      <c r="AS30" s="98">
        <f t="shared" si="3"/>
        <v>3</v>
      </c>
      <c r="AT30" s="99" t="s">
        <v>73</v>
      </c>
    </row>
    <row r="31" customFormat="1" ht="34" customHeight="1" spans="1:46">
      <c r="A31" s="92">
        <f t="shared" si="6"/>
        <v>28</v>
      </c>
      <c r="B31" s="93" t="s">
        <v>74</v>
      </c>
      <c r="C31" s="94" t="s">
        <v>66</v>
      </c>
      <c r="D31" s="95" t="s">
        <v>23</v>
      </c>
      <c r="E31" s="95" t="s">
        <v>23</v>
      </c>
      <c r="F31" s="95" t="s">
        <v>23</v>
      </c>
      <c r="G31" s="95" t="s">
        <v>24</v>
      </c>
      <c r="H31" s="95" t="s">
        <v>24</v>
      </c>
      <c r="I31" s="95" t="s">
        <v>23</v>
      </c>
      <c r="J31" s="95" t="s">
        <v>24</v>
      </c>
      <c r="K31" s="95" t="s">
        <v>24</v>
      </c>
      <c r="L31" s="97" t="s">
        <v>26</v>
      </c>
      <c r="M31" s="97" t="s">
        <v>26</v>
      </c>
      <c r="N31" s="97" t="s">
        <v>26</v>
      </c>
      <c r="O31" s="95" t="s">
        <v>24</v>
      </c>
      <c r="P31" s="97" t="s">
        <v>26</v>
      </c>
      <c r="Q31" s="97" t="s">
        <v>26</v>
      </c>
      <c r="R31" s="97" t="s">
        <v>26</v>
      </c>
      <c r="S31" s="97" t="s">
        <v>26</v>
      </c>
      <c r="T31" s="97" t="s">
        <v>26</v>
      </c>
      <c r="U31" s="95" t="s">
        <v>24</v>
      </c>
      <c r="V31" s="95" t="s">
        <v>24</v>
      </c>
      <c r="W31" s="97" t="s">
        <v>26</v>
      </c>
      <c r="X31" s="97" t="s">
        <v>26</v>
      </c>
      <c r="Y31" s="97" t="s">
        <v>26</v>
      </c>
      <c r="Z31" s="97" t="s">
        <v>26</v>
      </c>
      <c r="AA31" s="97" t="s">
        <v>26</v>
      </c>
      <c r="AB31" s="95" t="s">
        <v>24</v>
      </c>
      <c r="AC31" s="95" t="s">
        <v>24</v>
      </c>
      <c r="AD31" s="97" t="s">
        <v>26</v>
      </c>
      <c r="AE31" s="97" t="s">
        <v>26</v>
      </c>
      <c r="AF31" s="97" t="s">
        <v>26</v>
      </c>
      <c r="AG31" s="97" t="s">
        <v>26</v>
      </c>
      <c r="AH31" s="97" t="s">
        <v>26</v>
      </c>
      <c r="AI31" s="98">
        <f t="shared" si="1"/>
        <v>31</v>
      </c>
      <c r="AJ31" s="98">
        <f t="shared" si="5"/>
        <v>18</v>
      </c>
      <c r="AK31" s="98">
        <v>9</v>
      </c>
      <c r="AL31" s="98">
        <v>4</v>
      </c>
      <c r="AM31" s="98">
        <v>0</v>
      </c>
      <c r="AN31" s="98"/>
      <c r="AO31" s="98"/>
      <c r="AP31" s="98"/>
      <c r="AQ31" s="98"/>
      <c r="AR31" s="98"/>
      <c r="AS31" s="98">
        <f t="shared" si="3"/>
        <v>0</v>
      </c>
      <c r="AT31" s="99"/>
    </row>
    <row r="32" customFormat="1" ht="34" customHeight="1" spans="1:46">
      <c r="A32" s="92">
        <f t="shared" si="6"/>
        <v>29</v>
      </c>
      <c r="B32" s="106" t="s">
        <v>75</v>
      </c>
      <c r="C32" s="94" t="s">
        <v>66</v>
      </c>
      <c r="D32" s="102" t="s">
        <v>34</v>
      </c>
      <c r="E32" s="102" t="s">
        <v>34</v>
      </c>
      <c r="F32" s="102" t="s">
        <v>34</v>
      </c>
      <c r="G32" s="102" t="s">
        <v>34</v>
      </c>
      <c r="H32" s="102" t="s">
        <v>34</v>
      </c>
      <c r="I32" s="102" t="s">
        <v>34</v>
      </c>
      <c r="J32" s="102" t="s">
        <v>34</v>
      </c>
      <c r="K32" s="102" t="s">
        <v>34</v>
      </c>
      <c r="L32" s="97" t="s">
        <v>26</v>
      </c>
      <c r="M32" s="97" t="s">
        <v>26</v>
      </c>
      <c r="N32" s="97" t="s">
        <v>26</v>
      </c>
      <c r="O32" s="95" t="s">
        <v>24</v>
      </c>
      <c r="P32" s="97" t="s">
        <v>26</v>
      </c>
      <c r="Q32" s="97" t="s">
        <v>26</v>
      </c>
      <c r="R32" s="97" t="s">
        <v>26</v>
      </c>
      <c r="S32" s="97" t="s">
        <v>26</v>
      </c>
      <c r="T32" s="97" t="s">
        <v>26</v>
      </c>
      <c r="U32" s="95" t="s">
        <v>24</v>
      </c>
      <c r="V32" s="95" t="s">
        <v>24</v>
      </c>
      <c r="W32" s="97" t="s">
        <v>26</v>
      </c>
      <c r="X32" s="97" t="s">
        <v>26</v>
      </c>
      <c r="Y32" s="97" t="s">
        <v>26</v>
      </c>
      <c r="Z32" s="102" t="s">
        <v>34</v>
      </c>
      <c r="AA32" s="102" t="s">
        <v>34</v>
      </c>
      <c r="AB32" s="102" t="s">
        <v>34</v>
      </c>
      <c r="AC32" s="102" t="s">
        <v>34</v>
      </c>
      <c r="AD32" s="102" t="s">
        <v>34</v>
      </c>
      <c r="AE32" s="102" t="s">
        <v>34</v>
      </c>
      <c r="AF32" s="102" t="s">
        <v>34</v>
      </c>
      <c r="AG32" s="102" t="s">
        <v>34</v>
      </c>
      <c r="AH32" s="102" t="s">
        <v>34</v>
      </c>
      <c r="AI32" s="98">
        <f t="shared" si="1"/>
        <v>31</v>
      </c>
      <c r="AJ32" s="98">
        <f t="shared" si="5"/>
        <v>11</v>
      </c>
      <c r="AK32" s="98">
        <v>9</v>
      </c>
      <c r="AL32" s="98">
        <v>4</v>
      </c>
      <c r="AM32" s="98">
        <v>7</v>
      </c>
      <c r="AN32" s="98"/>
      <c r="AO32" s="98"/>
      <c r="AP32" s="98"/>
      <c r="AQ32" s="98"/>
      <c r="AR32" s="98">
        <v>4</v>
      </c>
      <c r="AS32" s="98">
        <f t="shared" si="3"/>
        <v>11</v>
      </c>
      <c r="AT32" s="99" t="s">
        <v>76</v>
      </c>
    </row>
    <row r="33" ht="34" customHeight="1" spans="1:46">
      <c r="A33" s="92">
        <f t="shared" ref="A33:A41" si="7">ROW()-3</f>
        <v>30</v>
      </c>
      <c r="B33" s="93" t="s">
        <v>77</v>
      </c>
      <c r="C33" s="94" t="s">
        <v>78</v>
      </c>
      <c r="D33" s="95" t="s">
        <v>23</v>
      </c>
      <c r="E33" s="95" t="s">
        <v>23</v>
      </c>
      <c r="F33" s="95" t="s">
        <v>23</v>
      </c>
      <c r="G33" s="95" t="s">
        <v>24</v>
      </c>
      <c r="H33" s="95" t="s">
        <v>24</v>
      </c>
      <c r="I33" s="95" t="s">
        <v>23</v>
      </c>
      <c r="J33" s="95" t="s">
        <v>24</v>
      </c>
      <c r="K33" s="95" t="s">
        <v>24</v>
      </c>
      <c r="L33" s="97" t="s">
        <v>26</v>
      </c>
      <c r="M33" s="97" t="s">
        <v>26</v>
      </c>
      <c r="N33" s="97" t="s">
        <v>26</v>
      </c>
      <c r="O33" s="95" t="s">
        <v>24</v>
      </c>
      <c r="P33" s="97" t="s">
        <v>26</v>
      </c>
      <c r="Q33" s="97" t="s">
        <v>26</v>
      </c>
      <c r="R33" s="97" t="s">
        <v>26</v>
      </c>
      <c r="S33" s="97" t="s">
        <v>26</v>
      </c>
      <c r="T33" s="97" t="s">
        <v>26</v>
      </c>
      <c r="U33" s="95" t="s">
        <v>24</v>
      </c>
      <c r="V33" s="95" t="s">
        <v>24</v>
      </c>
      <c r="W33" s="97" t="s">
        <v>26</v>
      </c>
      <c r="X33" s="97" t="s">
        <v>26</v>
      </c>
      <c r="Y33" s="97" t="s">
        <v>26</v>
      </c>
      <c r="Z33" s="97" t="s">
        <v>26</v>
      </c>
      <c r="AA33" s="97" t="s">
        <v>26</v>
      </c>
      <c r="AB33" s="95" t="s">
        <v>24</v>
      </c>
      <c r="AC33" s="95" t="s">
        <v>24</v>
      </c>
      <c r="AD33" s="97" t="s">
        <v>26</v>
      </c>
      <c r="AE33" s="97" t="s">
        <v>26</v>
      </c>
      <c r="AF33" s="97" t="s">
        <v>26</v>
      </c>
      <c r="AG33" s="97" t="s">
        <v>26</v>
      </c>
      <c r="AH33" s="97" t="s">
        <v>26</v>
      </c>
      <c r="AI33" s="98">
        <f t="shared" si="1"/>
        <v>31</v>
      </c>
      <c r="AJ33" s="98">
        <f t="shared" si="5"/>
        <v>18</v>
      </c>
      <c r="AK33" s="98">
        <v>9</v>
      </c>
      <c r="AL33" s="98">
        <v>4</v>
      </c>
      <c r="AM33" s="98">
        <v>0</v>
      </c>
      <c r="AN33" s="98"/>
      <c r="AO33" s="98"/>
      <c r="AP33" s="98"/>
      <c r="AQ33" s="98"/>
      <c r="AR33" s="98"/>
      <c r="AS33" s="98">
        <f t="shared" si="3"/>
        <v>0</v>
      </c>
      <c r="AT33" s="99"/>
    </row>
    <row r="34" ht="34" customHeight="1" spans="1:46">
      <c r="A34" s="92">
        <f t="shared" si="7"/>
        <v>31</v>
      </c>
      <c r="B34" s="93" t="s">
        <v>79</v>
      </c>
      <c r="C34" s="94" t="s">
        <v>78</v>
      </c>
      <c r="D34" s="95" t="s">
        <v>23</v>
      </c>
      <c r="E34" s="95" t="s">
        <v>23</v>
      </c>
      <c r="F34" s="95" t="s">
        <v>23</v>
      </c>
      <c r="G34" s="95" t="s">
        <v>24</v>
      </c>
      <c r="H34" s="95" t="s">
        <v>24</v>
      </c>
      <c r="I34" s="95" t="s">
        <v>23</v>
      </c>
      <c r="J34" s="95" t="s">
        <v>24</v>
      </c>
      <c r="K34" s="95" t="s">
        <v>24</v>
      </c>
      <c r="L34" s="97" t="s">
        <v>26</v>
      </c>
      <c r="M34" s="100" t="s">
        <v>80</v>
      </c>
      <c r="N34" s="97" t="s">
        <v>26</v>
      </c>
      <c r="O34" s="95" t="s">
        <v>24</v>
      </c>
      <c r="P34" s="97" t="s">
        <v>26</v>
      </c>
      <c r="Q34" s="97" t="s">
        <v>26</v>
      </c>
      <c r="R34" s="97" t="s">
        <v>26</v>
      </c>
      <c r="S34" s="97" t="s">
        <v>26</v>
      </c>
      <c r="T34" s="97" t="s">
        <v>26</v>
      </c>
      <c r="U34" s="95" t="s">
        <v>24</v>
      </c>
      <c r="V34" s="95" t="s">
        <v>24</v>
      </c>
      <c r="W34" s="97" t="s">
        <v>26</v>
      </c>
      <c r="X34" s="97" t="s">
        <v>26</v>
      </c>
      <c r="Y34" s="97" t="s">
        <v>26</v>
      </c>
      <c r="Z34" s="97" t="s">
        <v>26</v>
      </c>
      <c r="AA34" s="97" t="s">
        <v>26</v>
      </c>
      <c r="AB34" s="95" t="s">
        <v>24</v>
      </c>
      <c r="AC34" s="95" t="s">
        <v>24</v>
      </c>
      <c r="AD34" s="97" t="s">
        <v>26</v>
      </c>
      <c r="AE34" s="97" t="s">
        <v>26</v>
      </c>
      <c r="AF34" s="97" t="s">
        <v>26</v>
      </c>
      <c r="AG34" s="97" t="s">
        <v>26</v>
      </c>
      <c r="AH34" s="97" t="s">
        <v>26</v>
      </c>
      <c r="AI34" s="98">
        <f t="shared" si="1"/>
        <v>31</v>
      </c>
      <c r="AJ34" s="98">
        <f t="shared" si="5"/>
        <v>17.5</v>
      </c>
      <c r="AK34" s="98">
        <v>9</v>
      </c>
      <c r="AL34" s="98">
        <v>4</v>
      </c>
      <c r="AM34" s="98">
        <v>0.5</v>
      </c>
      <c r="AN34" s="98"/>
      <c r="AO34" s="98"/>
      <c r="AP34" s="98"/>
      <c r="AQ34" s="98"/>
      <c r="AR34" s="98"/>
      <c r="AS34" s="98">
        <f t="shared" si="3"/>
        <v>0.5</v>
      </c>
      <c r="AT34" s="99" t="s">
        <v>81</v>
      </c>
    </row>
    <row r="35" ht="34" customHeight="1" spans="1:46">
      <c r="A35" s="92">
        <f t="shared" si="7"/>
        <v>32</v>
      </c>
      <c r="B35" s="93" t="s">
        <v>82</v>
      </c>
      <c r="C35" s="94" t="s">
        <v>78</v>
      </c>
      <c r="D35" s="95" t="s">
        <v>23</v>
      </c>
      <c r="E35" s="95" t="s">
        <v>23</v>
      </c>
      <c r="F35" s="95" t="s">
        <v>23</v>
      </c>
      <c r="G35" s="95" t="s">
        <v>24</v>
      </c>
      <c r="H35" s="95" t="s">
        <v>24</v>
      </c>
      <c r="I35" s="95" t="s">
        <v>23</v>
      </c>
      <c r="J35" s="95" t="s">
        <v>24</v>
      </c>
      <c r="K35" s="95" t="s">
        <v>24</v>
      </c>
      <c r="L35" s="97" t="s">
        <v>26</v>
      </c>
      <c r="M35" s="97" t="s">
        <v>26</v>
      </c>
      <c r="N35" s="97" t="s">
        <v>26</v>
      </c>
      <c r="O35" s="95" t="s">
        <v>24</v>
      </c>
      <c r="P35" s="97" t="s">
        <v>26</v>
      </c>
      <c r="Q35" s="97" t="s">
        <v>26</v>
      </c>
      <c r="R35" s="97" t="s">
        <v>26</v>
      </c>
      <c r="S35" s="97" t="s">
        <v>26</v>
      </c>
      <c r="T35" s="97" t="s">
        <v>26</v>
      </c>
      <c r="U35" s="95" t="s">
        <v>24</v>
      </c>
      <c r="V35" s="95" t="s">
        <v>24</v>
      </c>
      <c r="W35" s="97" t="s">
        <v>26</v>
      </c>
      <c r="X35" s="97" t="s">
        <v>26</v>
      </c>
      <c r="Y35" s="97" t="s">
        <v>26</v>
      </c>
      <c r="Z35" s="97" t="s">
        <v>26</v>
      </c>
      <c r="AA35" s="100" t="s">
        <v>25</v>
      </c>
      <c r="AB35" s="95" t="s">
        <v>24</v>
      </c>
      <c r="AC35" s="95" t="s">
        <v>24</v>
      </c>
      <c r="AD35" s="97" t="s">
        <v>26</v>
      </c>
      <c r="AE35" s="97" t="s">
        <v>26</v>
      </c>
      <c r="AF35" s="97" t="s">
        <v>26</v>
      </c>
      <c r="AG35" s="97" t="s">
        <v>26</v>
      </c>
      <c r="AH35" s="97" t="s">
        <v>26</v>
      </c>
      <c r="AI35" s="98">
        <f t="shared" si="1"/>
        <v>31</v>
      </c>
      <c r="AJ35" s="98">
        <f t="shared" si="5"/>
        <v>17</v>
      </c>
      <c r="AK35" s="98">
        <v>9</v>
      </c>
      <c r="AL35" s="98">
        <v>4</v>
      </c>
      <c r="AM35" s="98">
        <v>1</v>
      </c>
      <c r="AN35" s="98"/>
      <c r="AO35" s="98"/>
      <c r="AP35" s="98"/>
      <c r="AQ35" s="98"/>
      <c r="AR35" s="98"/>
      <c r="AS35" s="98">
        <f t="shared" si="3"/>
        <v>1</v>
      </c>
      <c r="AT35" s="99"/>
    </row>
    <row r="36" ht="34" customHeight="1" spans="1:46">
      <c r="A36" s="92">
        <f t="shared" si="7"/>
        <v>33</v>
      </c>
      <c r="B36" s="93" t="s">
        <v>83</v>
      </c>
      <c r="C36" s="94" t="s">
        <v>84</v>
      </c>
      <c r="D36" s="95" t="s">
        <v>23</v>
      </c>
      <c r="E36" s="95" t="s">
        <v>23</v>
      </c>
      <c r="F36" s="95" t="s">
        <v>23</v>
      </c>
      <c r="G36" s="95" t="s">
        <v>24</v>
      </c>
      <c r="H36" s="95" t="s">
        <v>24</v>
      </c>
      <c r="I36" s="95" t="s">
        <v>23</v>
      </c>
      <c r="J36" s="95" t="s">
        <v>24</v>
      </c>
      <c r="K36" s="95" t="s">
        <v>24</v>
      </c>
      <c r="L36" s="97" t="s">
        <v>26</v>
      </c>
      <c r="M36" s="97" t="s">
        <v>26</v>
      </c>
      <c r="N36" s="97" t="s">
        <v>26</v>
      </c>
      <c r="O36" s="95" t="s">
        <v>24</v>
      </c>
      <c r="P36" s="97" t="s">
        <v>26</v>
      </c>
      <c r="Q36" s="97" t="s">
        <v>26</v>
      </c>
      <c r="R36" s="97" t="s">
        <v>26</v>
      </c>
      <c r="S36" s="97" t="s">
        <v>26</v>
      </c>
      <c r="T36" s="97" t="s">
        <v>26</v>
      </c>
      <c r="U36" s="95" t="s">
        <v>24</v>
      </c>
      <c r="V36" s="95" t="s">
        <v>24</v>
      </c>
      <c r="W36" s="97" t="s">
        <v>26</v>
      </c>
      <c r="X36" s="97" t="s">
        <v>26</v>
      </c>
      <c r="Y36" s="97" t="s">
        <v>26</v>
      </c>
      <c r="Z36" s="97" t="s">
        <v>26</v>
      </c>
      <c r="AA36" s="97" t="s">
        <v>26</v>
      </c>
      <c r="AB36" s="95" t="s">
        <v>24</v>
      </c>
      <c r="AC36" s="95" t="s">
        <v>24</v>
      </c>
      <c r="AD36" s="97" t="s">
        <v>26</v>
      </c>
      <c r="AE36" s="97" t="s">
        <v>26</v>
      </c>
      <c r="AF36" s="97" t="s">
        <v>26</v>
      </c>
      <c r="AG36" s="97" t="s">
        <v>26</v>
      </c>
      <c r="AH36" s="97" t="s">
        <v>26</v>
      </c>
      <c r="AI36" s="98">
        <f t="shared" si="1"/>
        <v>31</v>
      </c>
      <c r="AJ36" s="98">
        <f t="shared" si="5"/>
        <v>18</v>
      </c>
      <c r="AK36" s="98">
        <v>9</v>
      </c>
      <c r="AL36" s="98">
        <v>4</v>
      </c>
      <c r="AM36" s="98">
        <v>0</v>
      </c>
      <c r="AN36" s="98"/>
      <c r="AO36" s="98"/>
      <c r="AP36" s="98"/>
      <c r="AQ36" s="98"/>
      <c r="AR36" s="98"/>
      <c r="AS36" s="98">
        <f t="shared" si="3"/>
        <v>0</v>
      </c>
      <c r="AT36" s="99"/>
    </row>
    <row r="37" ht="34" customHeight="1" spans="1:46">
      <c r="A37" s="92">
        <f t="shared" si="7"/>
        <v>34</v>
      </c>
      <c r="B37" s="93" t="s">
        <v>85</v>
      </c>
      <c r="C37" s="94" t="s">
        <v>84</v>
      </c>
      <c r="D37" s="95" t="s">
        <v>23</v>
      </c>
      <c r="E37" s="95" t="s">
        <v>23</v>
      </c>
      <c r="F37" s="95" t="s">
        <v>23</v>
      </c>
      <c r="G37" s="95" t="s">
        <v>24</v>
      </c>
      <c r="H37" s="95" t="s">
        <v>24</v>
      </c>
      <c r="I37" s="95" t="s">
        <v>23</v>
      </c>
      <c r="J37" s="95" t="s">
        <v>24</v>
      </c>
      <c r="K37" s="95" t="s">
        <v>24</v>
      </c>
      <c r="L37" s="100" t="s">
        <v>25</v>
      </c>
      <c r="M37" s="100" t="s">
        <v>25</v>
      </c>
      <c r="N37" s="100" t="s">
        <v>25</v>
      </c>
      <c r="O37" s="95" t="s">
        <v>24</v>
      </c>
      <c r="P37" s="100" t="s">
        <v>25</v>
      </c>
      <c r="Q37" s="100" t="s">
        <v>25</v>
      </c>
      <c r="R37" s="100" t="s">
        <v>25</v>
      </c>
      <c r="S37" s="100" t="s">
        <v>25</v>
      </c>
      <c r="T37" s="100" t="s">
        <v>25</v>
      </c>
      <c r="U37" s="95" t="s">
        <v>24</v>
      </c>
      <c r="V37" s="95" t="s">
        <v>24</v>
      </c>
      <c r="W37" s="100" t="s">
        <v>25</v>
      </c>
      <c r="X37" s="100" t="s">
        <v>25</v>
      </c>
      <c r="Y37" s="100" t="s">
        <v>25</v>
      </c>
      <c r="Z37" s="100" t="s">
        <v>25</v>
      </c>
      <c r="AA37" s="100" t="s">
        <v>25</v>
      </c>
      <c r="AB37" s="95" t="s">
        <v>24</v>
      </c>
      <c r="AC37" s="95" t="s">
        <v>24</v>
      </c>
      <c r="AD37" s="100" t="s">
        <v>25</v>
      </c>
      <c r="AE37" s="100" t="s">
        <v>25</v>
      </c>
      <c r="AF37" s="100" t="s">
        <v>25</v>
      </c>
      <c r="AG37" s="100" t="s">
        <v>25</v>
      </c>
      <c r="AH37" s="100" t="s">
        <v>25</v>
      </c>
      <c r="AI37" s="98">
        <f t="shared" si="1"/>
        <v>31</v>
      </c>
      <c r="AJ37" s="98">
        <v>0</v>
      </c>
      <c r="AK37" s="98">
        <v>9</v>
      </c>
      <c r="AL37" s="98">
        <v>4</v>
      </c>
      <c r="AM37" s="98">
        <v>18</v>
      </c>
      <c r="AN37" s="98"/>
      <c r="AO37" s="98"/>
      <c r="AP37" s="98"/>
      <c r="AQ37" s="98"/>
      <c r="AR37" s="98">
        <v>4</v>
      </c>
      <c r="AS37" s="98">
        <f t="shared" si="3"/>
        <v>22</v>
      </c>
      <c r="AT37" s="99"/>
    </row>
    <row r="38" ht="34" customHeight="1" spans="1:46">
      <c r="A38" s="92">
        <f t="shared" si="7"/>
        <v>35</v>
      </c>
      <c r="B38" s="93" t="s">
        <v>86</v>
      </c>
      <c r="C38" s="94" t="s">
        <v>84</v>
      </c>
      <c r="D38" s="95" t="s">
        <v>23</v>
      </c>
      <c r="E38" s="95" t="s">
        <v>23</v>
      </c>
      <c r="F38" s="95" t="s">
        <v>23</v>
      </c>
      <c r="G38" s="95" t="s">
        <v>24</v>
      </c>
      <c r="H38" s="95" t="s">
        <v>24</v>
      </c>
      <c r="I38" s="95" t="s">
        <v>23</v>
      </c>
      <c r="J38" s="95" t="s">
        <v>24</v>
      </c>
      <c r="K38" s="95" t="s">
        <v>24</v>
      </c>
      <c r="L38" s="97" t="s">
        <v>26</v>
      </c>
      <c r="M38" s="97" t="s">
        <v>26</v>
      </c>
      <c r="N38" s="97" t="s">
        <v>26</v>
      </c>
      <c r="O38" s="95" t="s">
        <v>24</v>
      </c>
      <c r="P38" s="97" t="s">
        <v>26</v>
      </c>
      <c r="Q38" s="97" t="s">
        <v>26</v>
      </c>
      <c r="R38" s="97" t="s">
        <v>26</v>
      </c>
      <c r="S38" s="97" t="s">
        <v>26</v>
      </c>
      <c r="T38" s="97" t="s">
        <v>26</v>
      </c>
      <c r="U38" s="95" t="s">
        <v>24</v>
      </c>
      <c r="V38" s="95" t="s">
        <v>24</v>
      </c>
      <c r="W38" s="97" t="s">
        <v>26</v>
      </c>
      <c r="X38" s="97" t="s">
        <v>26</v>
      </c>
      <c r="Y38" s="97" t="s">
        <v>26</v>
      </c>
      <c r="Z38" s="97" t="s">
        <v>26</v>
      </c>
      <c r="AA38" s="97" t="s">
        <v>26</v>
      </c>
      <c r="AB38" s="95" t="s">
        <v>24</v>
      </c>
      <c r="AC38" s="95" t="s">
        <v>24</v>
      </c>
      <c r="AD38" s="100" t="s">
        <v>25</v>
      </c>
      <c r="AE38" s="97" t="s">
        <v>26</v>
      </c>
      <c r="AF38" s="97" t="s">
        <v>26</v>
      </c>
      <c r="AG38" s="97" t="s">
        <v>26</v>
      </c>
      <c r="AH38" s="97" t="s">
        <v>26</v>
      </c>
      <c r="AI38" s="98">
        <f t="shared" si="1"/>
        <v>31</v>
      </c>
      <c r="AJ38" s="98">
        <f t="shared" ref="AJ38:AJ101" si="8">18-AM38</f>
        <v>17</v>
      </c>
      <c r="AK38" s="98">
        <v>9</v>
      </c>
      <c r="AL38" s="98">
        <v>4</v>
      </c>
      <c r="AM38" s="98">
        <v>1</v>
      </c>
      <c r="AN38" s="98"/>
      <c r="AO38" s="98"/>
      <c r="AP38" s="98"/>
      <c r="AQ38" s="98"/>
      <c r="AR38" s="98"/>
      <c r="AS38" s="98">
        <f t="shared" si="3"/>
        <v>1</v>
      </c>
      <c r="AT38" s="99"/>
    </row>
    <row r="39" customFormat="1" ht="34" customHeight="1" spans="1:46">
      <c r="A39" s="92">
        <f t="shared" si="7"/>
        <v>36</v>
      </c>
      <c r="B39" s="93" t="s">
        <v>87</v>
      </c>
      <c r="C39" s="94" t="s">
        <v>84</v>
      </c>
      <c r="D39" s="95" t="s">
        <v>23</v>
      </c>
      <c r="E39" s="95" t="s">
        <v>23</v>
      </c>
      <c r="F39" s="95" t="s">
        <v>23</v>
      </c>
      <c r="G39" s="95" t="s">
        <v>24</v>
      </c>
      <c r="H39" s="95" t="s">
        <v>24</v>
      </c>
      <c r="I39" s="95" t="s">
        <v>23</v>
      </c>
      <c r="J39" s="95" t="s">
        <v>24</v>
      </c>
      <c r="K39" s="95" t="s">
        <v>24</v>
      </c>
      <c r="L39" s="97" t="s">
        <v>26</v>
      </c>
      <c r="M39" s="97" t="s">
        <v>26</v>
      </c>
      <c r="N39" s="97" t="s">
        <v>26</v>
      </c>
      <c r="O39" s="95" t="s">
        <v>24</v>
      </c>
      <c r="P39" s="97" t="s">
        <v>26</v>
      </c>
      <c r="Q39" s="97" t="s">
        <v>26</v>
      </c>
      <c r="R39" s="97" t="s">
        <v>26</v>
      </c>
      <c r="S39" s="97" t="s">
        <v>26</v>
      </c>
      <c r="T39" s="97" t="s">
        <v>26</v>
      </c>
      <c r="U39" s="95" t="s">
        <v>24</v>
      </c>
      <c r="V39" s="95" t="s">
        <v>24</v>
      </c>
      <c r="W39" s="97" t="s">
        <v>26</v>
      </c>
      <c r="X39" s="97" t="s">
        <v>26</v>
      </c>
      <c r="Y39" s="97" t="s">
        <v>26</v>
      </c>
      <c r="Z39" s="97" t="s">
        <v>26</v>
      </c>
      <c r="AA39" s="97" t="s">
        <v>26</v>
      </c>
      <c r="AB39" s="95" t="s">
        <v>24</v>
      </c>
      <c r="AC39" s="95" t="s">
        <v>24</v>
      </c>
      <c r="AD39" s="97" t="s">
        <v>26</v>
      </c>
      <c r="AE39" s="97" t="s">
        <v>26</v>
      </c>
      <c r="AF39" s="97" t="s">
        <v>26</v>
      </c>
      <c r="AG39" s="97" t="s">
        <v>26</v>
      </c>
      <c r="AH39" s="96" t="s">
        <v>88</v>
      </c>
      <c r="AI39" s="98">
        <f t="shared" si="1"/>
        <v>31</v>
      </c>
      <c r="AJ39" s="98">
        <f t="shared" si="8"/>
        <v>17</v>
      </c>
      <c r="AK39" s="98">
        <v>9</v>
      </c>
      <c r="AL39" s="98">
        <v>4</v>
      </c>
      <c r="AM39" s="98">
        <v>1</v>
      </c>
      <c r="AN39" s="98"/>
      <c r="AO39" s="98">
        <v>1</v>
      </c>
      <c r="AP39" s="98"/>
      <c r="AQ39" s="98"/>
      <c r="AR39" s="98"/>
      <c r="AS39" s="98">
        <f t="shared" si="3"/>
        <v>0</v>
      </c>
      <c r="AT39" s="99" t="s">
        <v>89</v>
      </c>
    </row>
    <row r="40" customFormat="1" ht="34" customHeight="1" spans="1:46">
      <c r="A40" s="92">
        <f t="shared" si="7"/>
        <v>37</v>
      </c>
      <c r="B40" s="93" t="s">
        <v>90</v>
      </c>
      <c r="C40" s="94" t="s">
        <v>84</v>
      </c>
      <c r="D40" s="95" t="s">
        <v>23</v>
      </c>
      <c r="E40" s="95" t="s">
        <v>23</v>
      </c>
      <c r="F40" s="95" t="s">
        <v>23</v>
      </c>
      <c r="G40" s="95" t="s">
        <v>24</v>
      </c>
      <c r="H40" s="95" t="s">
        <v>24</v>
      </c>
      <c r="I40" s="95" t="s">
        <v>23</v>
      </c>
      <c r="J40" s="95" t="s">
        <v>24</v>
      </c>
      <c r="K40" s="95" t="s">
        <v>24</v>
      </c>
      <c r="L40" s="97" t="s">
        <v>26</v>
      </c>
      <c r="M40" s="97" t="s">
        <v>26</v>
      </c>
      <c r="N40" s="97" t="s">
        <v>26</v>
      </c>
      <c r="O40" s="95" t="s">
        <v>24</v>
      </c>
      <c r="P40" s="97" t="s">
        <v>26</v>
      </c>
      <c r="Q40" s="97" t="s">
        <v>26</v>
      </c>
      <c r="R40" s="97" t="s">
        <v>26</v>
      </c>
      <c r="S40" s="97" t="s">
        <v>26</v>
      </c>
      <c r="T40" s="97" t="s">
        <v>26</v>
      </c>
      <c r="U40" s="95" t="s">
        <v>24</v>
      </c>
      <c r="V40" s="95" t="s">
        <v>24</v>
      </c>
      <c r="W40" s="97" t="s">
        <v>26</v>
      </c>
      <c r="X40" s="97" t="s">
        <v>26</v>
      </c>
      <c r="Y40" s="97" t="s">
        <v>26</v>
      </c>
      <c r="Z40" s="97" t="s">
        <v>26</v>
      </c>
      <c r="AA40" s="97" t="s">
        <v>26</v>
      </c>
      <c r="AB40" s="95" t="s">
        <v>24</v>
      </c>
      <c r="AC40" s="95" t="s">
        <v>24</v>
      </c>
      <c r="AD40" s="97" t="s">
        <v>26</v>
      </c>
      <c r="AE40" s="97" t="s">
        <v>26</v>
      </c>
      <c r="AF40" s="97" t="s">
        <v>26</v>
      </c>
      <c r="AG40" s="97" t="s">
        <v>26</v>
      </c>
      <c r="AH40" s="97" t="s">
        <v>26</v>
      </c>
      <c r="AI40" s="98">
        <f t="shared" si="1"/>
        <v>31</v>
      </c>
      <c r="AJ40" s="98">
        <f t="shared" si="8"/>
        <v>18</v>
      </c>
      <c r="AK40" s="98">
        <v>9</v>
      </c>
      <c r="AL40" s="98">
        <v>4</v>
      </c>
      <c r="AM40" s="98">
        <v>0</v>
      </c>
      <c r="AN40" s="98"/>
      <c r="AO40" s="98"/>
      <c r="AP40" s="98"/>
      <c r="AQ40" s="98"/>
      <c r="AR40" s="98"/>
      <c r="AS40" s="98">
        <f t="shared" si="3"/>
        <v>0</v>
      </c>
      <c r="AT40" s="99"/>
    </row>
    <row r="41" customFormat="1" ht="34" customHeight="1" spans="1:46">
      <c r="A41" s="92">
        <f t="shared" si="7"/>
        <v>38</v>
      </c>
      <c r="B41" s="93" t="s">
        <v>91</v>
      </c>
      <c r="C41" s="94" t="s">
        <v>84</v>
      </c>
      <c r="D41" s="95" t="s">
        <v>23</v>
      </c>
      <c r="E41" s="95" t="s">
        <v>23</v>
      </c>
      <c r="F41" s="95" t="s">
        <v>23</v>
      </c>
      <c r="G41" s="95" t="s">
        <v>24</v>
      </c>
      <c r="H41" s="95" t="s">
        <v>24</v>
      </c>
      <c r="I41" s="95" t="s">
        <v>23</v>
      </c>
      <c r="J41" s="95" t="s">
        <v>24</v>
      </c>
      <c r="K41" s="95" t="s">
        <v>24</v>
      </c>
      <c r="L41" s="97" t="s">
        <v>26</v>
      </c>
      <c r="M41" s="97" t="s">
        <v>26</v>
      </c>
      <c r="N41" s="97" t="s">
        <v>26</v>
      </c>
      <c r="O41" s="95" t="s">
        <v>24</v>
      </c>
      <c r="P41" s="97" t="s">
        <v>26</v>
      </c>
      <c r="Q41" s="97" t="s">
        <v>26</v>
      </c>
      <c r="R41" s="97" t="s">
        <v>26</v>
      </c>
      <c r="S41" s="97" t="s">
        <v>26</v>
      </c>
      <c r="T41" s="97" t="s">
        <v>26</v>
      </c>
      <c r="U41" s="95" t="s">
        <v>24</v>
      </c>
      <c r="V41" s="95" t="s">
        <v>24</v>
      </c>
      <c r="W41" s="97" t="s">
        <v>26</v>
      </c>
      <c r="X41" s="97" t="s">
        <v>26</v>
      </c>
      <c r="Y41" s="97" t="s">
        <v>26</v>
      </c>
      <c r="Z41" s="97" t="s">
        <v>26</v>
      </c>
      <c r="AA41" s="97" t="s">
        <v>26</v>
      </c>
      <c r="AB41" s="95" t="s">
        <v>24</v>
      </c>
      <c r="AC41" s="95" t="s">
        <v>24</v>
      </c>
      <c r="AD41" s="97" t="s">
        <v>26</v>
      </c>
      <c r="AE41" s="97" t="s">
        <v>26</v>
      </c>
      <c r="AF41" s="97" t="s">
        <v>26</v>
      </c>
      <c r="AG41" s="97" t="s">
        <v>26</v>
      </c>
      <c r="AH41" s="97" t="s">
        <v>26</v>
      </c>
      <c r="AI41" s="98">
        <f t="shared" si="1"/>
        <v>31</v>
      </c>
      <c r="AJ41" s="98">
        <f t="shared" si="8"/>
        <v>18</v>
      </c>
      <c r="AK41" s="98">
        <v>9</v>
      </c>
      <c r="AL41" s="98">
        <v>4</v>
      </c>
      <c r="AM41" s="98">
        <v>0</v>
      </c>
      <c r="AN41" s="98"/>
      <c r="AO41" s="98"/>
      <c r="AP41" s="98"/>
      <c r="AQ41" s="98"/>
      <c r="AR41" s="98"/>
      <c r="AS41" s="98">
        <f t="shared" si="3"/>
        <v>0</v>
      </c>
      <c r="AT41" s="99"/>
    </row>
    <row r="42" customFormat="1" ht="34" customHeight="1" spans="1:46">
      <c r="A42" s="92">
        <f t="shared" ref="A42:A58" si="9">ROW()-3</f>
        <v>39</v>
      </c>
      <c r="B42" s="93" t="s">
        <v>92</v>
      </c>
      <c r="C42" s="94" t="s">
        <v>93</v>
      </c>
      <c r="D42" s="95" t="s">
        <v>23</v>
      </c>
      <c r="E42" s="95" t="s">
        <v>23</v>
      </c>
      <c r="F42" s="95" t="s">
        <v>23</v>
      </c>
      <c r="G42" s="95" t="s">
        <v>24</v>
      </c>
      <c r="H42" s="95" t="s">
        <v>24</v>
      </c>
      <c r="I42" s="95" t="s">
        <v>23</v>
      </c>
      <c r="J42" s="95" t="s">
        <v>24</v>
      </c>
      <c r="K42" s="95" t="s">
        <v>24</v>
      </c>
      <c r="L42" s="97" t="s">
        <v>26</v>
      </c>
      <c r="M42" s="97" t="s">
        <v>26</v>
      </c>
      <c r="N42" s="97" t="s">
        <v>26</v>
      </c>
      <c r="O42" s="95" t="s">
        <v>24</v>
      </c>
      <c r="P42" s="97" t="s">
        <v>26</v>
      </c>
      <c r="Q42" s="97" t="s">
        <v>26</v>
      </c>
      <c r="R42" s="97" t="s">
        <v>26</v>
      </c>
      <c r="S42" s="97" t="s">
        <v>26</v>
      </c>
      <c r="T42" s="97" t="s">
        <v>26</v>
      </c>
      <c r="U42" s="95" t="s">
        <v>24</v>
      </c>
      <c r="V42" s="95" t="s">
        <v>24</v>
      </c>
      <c r="W42" s="97" t="s">
        <v>26</v>
      </c>
      <c r="X42" s="97" t="s">
        <v>26</v>
      </c>
      <c r="Y42" s="97" t="s">
        <v>26</v>
      </c>
      <c r="Z42" s="97" t="s">
        <v>26</v>
      </c>
      <c r="AA42" s="97" t="s">
        <v>26</v>
      </c>
      <c r="AB42" s="95" t="s">
        <v>24</v>
      </c>
      <c r="AC42" s="95" t="s">
        <v>24</v>
      </c>
      <c r="AD42" s="97" t="s">
        <v>26</v>
      </c>
      <c r="AE42" s="97" t="s">
        <v>26</v>
      </c>
      <c r="AF42" s="97" t="s">
        <v>26</v>
      </c>
      <c r="AG42" s="97" t="s">
        <v>26</v>
      </c>
      <c r="AH42" s="97" t="s">
        <v>26</v>
      </c>
      <c r="AI42" s="98">
        <f t="shared" si="1"/>
        <v>31</v>
      </c>
      <c r="AJ42" s="98">
        <f t="shared" si="8"/>
        <v>18</v>
      </c>
      <c r="AK42" s="98">
        <v>9</v>
      </c>
      <c r="AL42" s="98">
        <v>4</v>
      </c>
      <c r="AM42" s="98">
        <v>0</v>
      </c>
      <c r="AN42" s="98"/>
      <c r="AO42" s="98"/>
      <c r="AP42" s="98"/>
      <c r="AQ42" s="98"/>
      <c r="AR42" s="98"/>
      <c r="AS42" s="98">
        <f t="shared" si="3"/>
        <v>0</v>
      </c>
      <c r="AT42" s="99"/>
    </row>
    <row r="43" customFormat="1" ht="34" customHeight="1" spans="1:46">
      <c r="A43" s="92">
        <f t="shared" si="9"/>
        <v>40</v>
      </c>
      <c r="B43" s="93" t="s">
        <v>94</v>
      </c>
      <c r="C43" s="94" t="s">
        <v>93</v>
      </c>
      <c r="D43" s="95" t="s">
        <v>23</v>
      </c>
      <c r="E43" s="95" t="s">
        <v>23</v>
      </c>
      <c r="F43" s="95" t="s">
        <v>23</v>
      </c>
      <c r="G43" s="95" t="s">
        <v>24</v>
      </c>
      <c r="H43" s="95" t="s">
        <v>24</v>
      </c>
      <c r="I43" s="95" t="s">
        <v>23</v>
      </c>
      <c r="J43" s="95" t="s">
        <v>24</v>
      </c>
      <c r="K43" s="95" t="s">
        <v>24</v>
      </c>
      <c r="L43" s="97" t="s">
        <v>26</v>
      </c>
      <c r="M43" s="97" t="s">
        <v>26</v>
      </c>
      <c r="N43" s="97" t="s">
        <v>26</v>
      </c>
      <c r="O43" s="95" t="s">
        <v>24</v>
      </c>
      <c r="P43" s="97" t="s">
        <v>26</v>
      </c>
      <c r="Q43" s="97" t="s">
        <v>26</v>
      </c>
      <c r="R43" s="97" t="s">
        <v>26</v>
      </c>
      <c r="S43" s="97" t="s">
        <v>26</v>
      </c>
      <c r="T43" s="97" t="s">
        <v>26</v>
      </c>
      <c r="U43" s="95" t="s">
        <v>24</v>
      </c>
      <c r="V43" s="95" t="s">
        <v>24</v>
      </c>
      <c r="W43" s="97" t="s">
        <v>26</v>
      </c>
      <c r="X43" s="97" t="s">
        <v>26</v>
      </c>
      <c r="Y43" s="97" t="s">
        <v>26</v>
      </c>
      <c r="Z43" s="97" t="s">
        <v>26</v>
      </c>
      <c r="AA43" s="97" t="s">
        <v>26</v>
      </c>
      <c r="AB43" s="95" t="s">
        <v>24</v>
      </c>
      <c r="AC43" s="95" t="s">
        <v>24</v>
      </c>
      <c r="AD43" s="97" t="s">
        <v>26</v>
      </c>
      <c r="AE43" s="97" t="s">
        <v>26</v>
      </c>
      <c r="AF43" s="97" t="s">
        <v>26</v>
      </c>
      <c r="AG43" s="97" t="s">
        <v>26</v>
      </c>
      <c r="AH43" s="97" t="s">
        <v>26</v>
      </c>
      <c r="AI43" s="98">
        <f t="shared" si="1"/>
        <v>31</v>
      </c>
      <c r="AJ43" s="98">
        <f t="shared" si="8"/>
        <v>18</v>
      </c>
      <c r="AK43" s="98">
        <v>9</v>
      </c>
      <c r="AL43" s="98">
        <v>4</v>
      </c>
      <c r="AM43" s="98">
        <v>0</v>
      </c>
      <c r="AN43" s="98"/>
      <c r="AO43" s="98"/>
      <c r="AP43" s="98"/>
      <c r="AQ43" s="98"/>
      <c r="AR43" s="98"/>
      <c r="AS43" s="98">
        <f t="shared" si="3"/>
        <v>0</v>
      </c>
      <c r="AT43" s="99"/>
    </row>
    <row r="44" ht="34" customHeight="1" spans="1:46">
      <c r="A44" s="92">
        <f t="shared" si="9"/>
        <v>41</v>
      </c>
      <c r="B44" s="93" t="s">
        <v>95</v>
      </c>
      <c r="C44" s="94" t="s">
        <v>93</v>
      </c>
      <c r="D44" s="95" t="s">
        <v>23</v>
      </c>
      <c r="E44" s="95" t="s">
        <v>23</v>
      </c>
      <c r="F44" s="95" t="s">
        <v>23</v>
      </c>
      <c r="G44" s="95" t="s">
        <v>24</v>
      </c>
      <c r="H44" s="95" t="s">
        <v>24</v>
      </c>
      <c r="I44" s="95" t="s">
        <v>23</v>
      </c>
      <c r="J44" s="95" t="s">
        <v>24</v>
      </c>
      <c r="K44" s="95" t="s">
        <v>24</v>
      </c>
      <c r="L44" s="97" t="s">
        <v>26</v>
      </c>
      <c r="M44" s="97" t="s">
        <v>26</v>
      </c>
      <c r="N44" s="97" t="s">
        <v>26</v>
      </c>
      <c r="O44" s="95" t="s">
        <v>24</v>
      </c>
      <c r="P44" s="97" t="s">
        <v>26</v>
      </c>
      <c r="Q44" s="97" t="s">
        <v>26</v>
      </c>
      <c r="R44" s="97" t="s">
        <v>26</v>
      </c>
      <c r="S44" s="97" t="s">
        <v>26</v>
      </c>
      <c r="T44" s="97" t="s">
        <v>26</v>
      </c>
      <c r="U44" s="95" t="s">
        <v>24</v>
      </c>
      <c r="V44" s="95" t="s">
        <v>24</v>
      </c>
      <c r="W44" s="97" t="s">
        <v>26</v>
      </c>
      <c r="X44" s="97" t="s">
        <v>26</v>
      </c>
      <c r="Y44" s="97" t="s">
        <v>26</v>
      </c>
      <c r="Z44" s="97" t="s">
        <v>26</v>
      </c>
      <c r="AA44" s="97" t="s">
        <v>26</v>
      </c>
      <c r="AB44" s="95" t="s">
        <v>24</v>
      </c>
      <c r="AC44" s="95" t="s">
        <v>24</v>
      </c>
      <c r="AD44" s="97" t="s">
        <v>26</v>
      </c>
      <c r="AE44" s="97" t="s">
        <v>26</v>
      </c>
      <c r="AF44" s="97" t="s">
        <v>26</v>
      </c>
      <c r="AG44" s="97" t="s">
        <v>26</v>
      </c>
      <c r="AH44" s="97" t="s">
        <v>26</v>
      </c>
      <c r="AI44" s="98">
        <f t="shared" si="1"/>
        <v>31</v>
      </c>
      <c r="AJ44" s="98">
        <f t="shared" si="8"/>
        <v>18</v>
      </c>
      <c r="AK44" s="98">
        <v>9</v>
      </c>
      <c r="AL44" s="98">
        <v>4</v>
      </c>
      <c r="AM44" s="98">
        <v>0</v>
      </c>
      <c r="AN44" s="98"/>
      <c r="AO44" s="98"/>
      <c r="AP44" s="98"/>
      <c r="AQ44" s="98"/>
      <c r="AR44" s="98"/>
      <c r="AS44" s="98">
        <f t="shared" si="3"/>
        <v>0</v>
      </c>
      <c r="AT44" s="99"/>
    </row>
    <row r="45" ht="34" customHeight="1" spans="1:46">
      <c r="A45" s="92">
        <f t="shared" si="9"/>
        <v>42</v>
      </c>
      <c r="B45" s="93" t="s">
        <v>96</v>
      </c>
      <c r="C45" s="94" t="s">
        <v>93</v>
      </c>
      <c r="D45" s="95" t="s">
        <v>23</v>
      </c>
      <c r="E45" s="95" t="s">
        <v>23</v>
      </c>
      <c r="F45" s="95" t="s">
        <v>23</v>
      </c>
      <c r="G45" s="95" t="s">
        <v>24</v>
      </c>
      <c r="H45" s="95" t="s">
        <v>24</v>
      </c>
      <c r="I45" s="95" t="s">
        <v>23</v>
      </c>
      <c r="J45" s="95" t="s">
        <v>24</v>
      </c>
      <c r="K45" s="95" t="s">
        <v>24</v>
      </c>
      <c r="L45" s="97" t="s">
        <v>26</v>
      </c>
      <c r="M45" s="97" t="s">
        <v>26</v>
      </c>
      <c r="N45" s="97" t="s">
        <v>26</v>
      </c>
      <c r="O45" s="95" t="s">
        <v>24</v>
      </c>
      <c r="P45" s="97" t="s">
        <v>26</v>
      </c>
      <c r="Q45" s="97" t="s">
        <v>26</v>
      </c>
      <c r="R45" s="97" t="s">
        <v>26</v>
      </c>
      <c r="S45" s="97" t="s">
        <v>26</v>
      </c>
      <c r="T45" s="97" t="s">
        <v>26</v>
      </c>
      <c r="U45" s="95" t="s">
        <v>24</v>
      </c>
      <c r="V45" s="95" t="s">
        <v>24</v>
      </c>
      <c r="W45" s="97" t="s">
        <v>26</v>
      </c>
      <c r="X45" s="97" t="s">
        <v>26</v>
      </c>
      <c r="Y45" s="97" t="s">
        <v>26</v>
      </c>
      <c r="Z45" s="97" t="s">
        <v>26</v>
      </c>
      <c r="AA45" s="97" t="s">
        <v>26</v>
      </c>
      <c r="AB45" s="95" t="s">
        <v>24</v>
      </c>
      <c r="AC45" s="95" t="s">
        <v>24</v>
      </c>
      <c r="AD45" s="97" t="s">
        <v>26</v>
      </c>
      <c r="AE45" s="97" t="s">
        <v>26</v>
      </c>
      <c r="AF45" s="97" t="s">
        <v>26</v>
      </c>
      <c r="AG45" s="97" t="s">
        <v>26</v>
      </c>
      <c r="AH45" s="97" t="s">
        <v>26</v>
      </c>
      <c r="AI45" s="98">
        <f t="shared" si="1"/>
        <v>31</v>
      </c>
      <c r="AJ45" s="98">
        <f t="shared" si="8"/>
        <v>18</v>
      </c>
      <c r="AK45" s="98">
        <v>9</v>
      </c>
      <c r="AL45" s="98">
        <v>4</v>
      </c>
      <c r="AM45" s="98">
        <v>0</v>
      </c>
      <c r="AN45" s="98"/>
      <c r="AO45" s="98"/>
      <c r="AP45" s="98"/>
      <c r="AQ45" s="98"/>
      <c r="AR45" s="98"/>
      <c r="AS45" s="98">
        <f t="shared" si="3"/>
        <v>0</v>
      </c>
      <c r="AT45" s="99"/>
    </row>
    <row r="46" ht="34" customHeight="1" spans="1:46">
      <c r="A46" s="92">
        <f t="shared" si="9"/>
        <v>43</v>
      </c>
      <c r="B46" s="93" t="s">
        <v>97</v>
      </c>
      <c r="C46" s="94" t="s">
        <v>98</v>
      </c>
      <c r="D46" s="95" t="s">
        <v>23</v>
      </c>
      <c r="E46" s="95" t="s">
        <v>23</v>
      </c>
      <c r="F46" s="95" t="s">
        <v>23</v>
      </c>
      <c r="G46" s="95" t="s">
        <v>24</v>
      </c>
      <c r="H46" s="95" t="s">
        <v>24</v>
      </c>
      <c r="I46" s="95" t="s">
        <v>23</v>
      </c>
      <c r="J46" s="95" t="s">
        <v>24</v>
      </c>
      <c r="K46" s="95" t="s">
        <v>24</v>
      </c>
      <c r="L46" s="97" t="s">
        <v>26</v>
      </c>
      <c r="M46" s="97" t="s">
        <v>26</v>
      </c>
      <c r="N46" s="97" t="s">
        <v>26</v>
      </c>
      <c r="O46" s="95" t="s">
        <v>24</v>
      </c>
      <c r="P46" s="97" t="s">
        <v>26</v>
      </c>
      <c r="Q46" s="97" t="s">
        <v>26</v>
      </c>
      <c r="R46" s="97" t="s">
        <v>26</v>
      </c>
      <c r="S46" s="97" t="s">
        <v>26</v>
      </c>
      <c r="T46" s="97" t="s">
        <v>26</v>
      </c>
      <c r="U46" s="95" t="s">
        <v>24</v>
      </c>
      <c r="V46" s="95" t="s">
        <v>24</v>
      </c>
      <c r="W46" s="97" t="s">
        <v>26</v>
      </c>
      <c r="X46" s="97" t="s">
        <v>26</v>
      </c>
      <c r="Y46" s="97" t="s">
        <v>26</v>
      </c>
      <c r="Z46" s="97" t="s">
        <v>26</v>
      </c>
      <c r="AA46" s="97" t="s">
        <v>26</v>
      </c>
      <c r="AB46" s="95" t="s">
        <v>24</v>
      </c>
      <c r="AC46" s="95" t="s">
        <v>24</v>
      </c>
      <c r="AD46" s="97" t="s">
        <v>26</v>
      </c>
      <c r="AE46" s="97" t="s">
        <v>26</v>
      </c>
      <c r="AF46" s="97" t="s">
        <v>26</v>
      </c>
      <c r="AG46" s="97" t="s">
        <v>26</v>
      </c>
      <c r="AH46" s="97" t="s">
        <v>26</v>
      </c>
      <c r="AI46" s="98">
        <f t="shared" si="1"/>
        <v>31</v>
      </c>
      <c r="AJ46" s="98">
        <f t="shared" si="8"/>
        <v>18</v>
      </c>
      <c r="AK46" s="98">
        <v>9</v>
      </c>
      <c r="AL46" s="98">
        <v>4</v>
      </c>
      <c r="AM46" s="98">
        <v>0</v>
      </c>
      <c r="AN46" s="98"/>
      <c r="AO46" s="98"/>
      <c r="AP46" s="98"/>
      <c r="AQ46" s="98"/>
      <c r="AR46" s="98"/>
      <c r="AS46" s="98">
        <f t="shared" si="3"/>
        <v>0</v>
      </c>
      <c r="AT46" s="99"/>
    </row>
    <row r="47" ht="34" customHeight="1" spans="1:46">
      <c r="A47" s="92">
        <f t="shared" si="9"/>
        <v>44</v>
      </c>
      <c r="B47" s="93" t="s">
        <v>99</v>
      </c>
      <c r="C47" s="94" t="s">
        <v>98</v>
      </c>
      <c r="D47" s="95" t="s">
        <v>23</v>
      </c>
      <c r="E47" s="95" t="s">
        <v>23</v>
      </c>
      <c r="F47" s="95" t="s">
        <v>23</v>
      </c>
      <c r="G47" s="95" t="s">
        <v>24</v>
      </c>
      <c r="H47" s="95" t="s">
        <v>24</v>
      </c>
      <c r="I47" s="95" t="s">
        <v>23</v>
      </c>
      <c r="J47" s="95" t="s">
        <v>24</v>
      </c>
      <c r="K47" s="95" t="s">
        <v>24</v>
      </c>
      <c r="L47" s="97" t="s">
        <v>26</v>
      </c>
      <c r="M47" s="97" t="s">
        <v>26</v>
      </c>
      <c r="N47" s="97" t="s">
        <v>26</v>
      </c>
      <c r="O47" s="95" t="s">
        <v>24</v>
      </c>
      <c r="P47" s="97" t="s">
        <v>26</v>
      </c>
      <c r="Q47" s="97" t="s">
        <v>26</v>
      </c>
      <c r="R47" s="97" t="s">
        <v>26</v>
      </c>
      <c r="S47" s="97" t="s">
        <v>26</v>
      </c>
      <c r="T47" s="97" t="s">
        <v>26</v>
      </c>
      <c r="U47" s="95" t="s">
        <v>24</v>
      </c>
      <c r="V47" s="95" t="s">
        <v>24</v>
      </c>
      <c r="W47" s="97" t="s">
        <v>26</v>
      </c>
      <c r="X47" s="97" t="s">
        <v>26</v>
      </c>
      <c r="Y47" s="97" t="s">
        <v>26</v>
      </c>
      <c r="Z47" s="97" t="s">
        <v>26</v>
      </c>
      <c r="AA47" s="97" t="s">
        <v>26</v>
      </c>
      <c r="AB47" s="95" t="s">
        <v>24</v>
      </c>
      <c r="AC47" s="95" t="s">
        <v>24</v>
      </c>
      <c r="AD47" s="100" t="s">
        <v>100</v>
      </c>
      <c r="AE47" s="100" t="s">
        <v>25</v>
      </c>
      <c r="AF47" s="100" t="s">
        <v>25</v>
      </c>
      <c r="AG47" s="100" t="s">
        <v>25</v>
      </c>
      <c r="AH47" s="100" t="s">
        <v>25</v>
      </c>
      <c r="AI47" s="98">
        <f t="shared" si="1"/>
        <v>31</v>
      </c>
      <c r="AJ47" s="98">
        <f t="shared" si="8"/>
        <v>13.19</v>
      </c>
      <c r="AK47" s="98">
        <v>9</v>
      </c>
      <c r="AL47" s="98">
        <v>4</v>
      </c>
      <c r="AM47" s="98">
        <v>4.81</v>
      </c>
      <c r="AN47" s="98"/>
      <c r="AO47" s="98"/>
      <c r="AP47" s="98"/>
      <c r="AQ47" s="98"/>
      <c r="AR47" s="98"/>
      <c r="AS47" s="98">
        <f t="shared" si="3"/>
        <v>4.81</v>
      </c>
      <c r="AT47" s="99"/>
    </row>
    <row r="48" ht="34" customHeight="1" spans="1:46">
      <c r="A48" s="92">
        <f t="shared" si="9"/>
        <v>45</v>
      </c>
      <c r="B48" s="93" t="s">
        <v>101</v>
      </c>
      <c r="C48" s="94" t="s">
        <v>102</v>
      </c>
      <c r="D48" s="95" t="s">
        <v>23</v>
      </c>
      <c r="E48" s="95" t="s">
        <v>23</v>
      </c>
      <c r="F48" s="95" t="s">
        <v>23</v>
      </c>
      <c r="G48" s="95" t="s">
        <v>24</v>
      </c>
      <c r="H48" s="95" t="s">
        <v>24</v>
      </c>
      <c r="I48" s="95" t="s">
        <v>23</v>
      </c>
      <c r="J48" s="95" t="s">
        <v>24</v>
      </c>
      <c r="K48" s="95" t="s">
        <v>24</v>
      </c>
      <c r="L48" s="97" t="s">
        <v>26</v>
      </c>
      <c r="M48" s="97" t="s">
        <v>26</v>
      </c>
      <c r="N48" s="97" t="s">
        <v>26</v>
      </c>
      <c r="O48" s="95" t="s">
        <v>24</v>
      </c>
      <c r="P48" s="97" t="s">
        <v>26</v>
      </c>
      <c r="Q48" s="97" t="s">
        <v>26</v>
      </c>
      <c r="R48" s="97" t="s">
        <v>26</v>
      </c>
      <c r="S48" s="97" t="s">
        <v>26</v>
      </c>
      <c r="T48" s="97" t="s">
        <v>26</v>
      </c>
      <c r="U48" s="95" t="s">
        <v>24</v>
      </c>
      <c r="V48" s="95" t="s">
        <v>24</v>
      </c>
      <c r="W48" s="97" t="s">
        <v>26</v>
      </c>
      <c r="X48" s="97" t="s">
        <v>26</v>
      </c>
      <c r="Y48" s="97" t="s">
        <v>26</v>
      </c>
      <c r="Z48" s="97" t="s">
        <v>26</v>
      </c>
      <c r="AA48" s="97" t="s">
        <v>26</v>
      </c>
      <c r="AB48" s="95" t="s">
        <v>24</v>
      </c>
      <c r="AC48" s="95" t="s">
        <v>24</v>
      </c>
      <c r="AD48" s="97" t="s">
        <v>26</v>
      </c>
      <c r="AE48" s="97" t="s">
        <v>26</v>
      </c>
      <c r="AF48" s="97" t="s">
        <v>26</v>
      </c>
      <c r="AG48" s="97" t="s">
        <v>26</v>
      </c>
      <c r="AH48" s="97" t="s">
        <v>26</v>
      </c>
      <c r="AI48" s="98">
        <f t="shared" si="1"/>
        <v>31</v>
      </c>
      <c r="AJ48" s="98">
        <f t="shared" si="8"/>
        <v>18</v>
      </c>
      <c r="AK48" s="98">
        <v>9</v>
      </c>
      <c r="AL48" s="98">
        <v>4</v>
      </c>
      <c r="AM48" s="98">
        <v>0</v>
      </c>
      <c r="AN48" s="98"/>
      <c r="AO48" s="98"/>
      <c r="AP48" s="98"/>
      <c r="AQ48" s="98"/>
      <c r="AR48" s="98"/>
      <c r="AS48" s="98">
        <f t="shared" si="3"/>
        <v>0</v>
      </c>
      <c r="AT48" s="99"/>
    </row>
    <row r="49" ht="34" customHeight="1" spans="1:46">
      <c r="A49" s="92">
        <f t="shared" si="9"/>
        <v>46</v>
      </c>
      <c r="B49" s="93" t="s">
        <v>103</v>
      </c>
      <c r="C49" s="94" t="s">
        <v>102</v>
      </c>
      <c r="D49" s="95" t="s">
        <v>23</v>
      </c>
      <c r="E49" s="95" t="s">
        <v>23</v>
      </c>
      <c r="F49" s="95" t="s">
        <v>23</v>
      </c>
      <c r="G49" s="95" t="s">
        <v>24</v>
      </c>
      <c r="H49" s="95" t="s">
        <v>24</v>
      </c>
      <c r="I49" s="95" t="s">
        <v>23</v>
      </c>
      <c r="J49" s="95" t="s">
        <v>24</v>
      </c>
      <c r="K49" s="95" t="s">
        <v>24</v>
      </c>
      <c r="L49" s="97" t="s">
        <v>26</v>
      </c>
      <c r="M49" s="97" t="s">
        <v>26</v>
      </c>
      <c r="N49" s="97" t="s">
        <v>26</v>
      </c>
      <c r="O49" s="95" t="s">
        <v>24</v>
      </c>
      <c r="P49" s="97" t="s">
        <v>26</v>
      </c>
      <c r="Q49" s="97" t="s">
        <v>26</v>
      </c>
      <c r="R49" s="97" t="s">
        <v>26</v>
      </c>
      <c r="S49" s="97" t="s">
        <v>26</v>
      </c>
      <c r="T49" s="97" t="s">
        <v>26</v>
      </c>
      <c r="U49" s="95" t="s">
        <v>24</v>
      </c>
      <c r="V49" s="95" t="s">
        <v>24</v>
      </c>
      <c r="W49" s="97" t="s">
        <v>26</v>
      </c>
      <c r="X49" s="97" t="s">
        <v>26</v>
      </c>
      <c r="Y49" s="97" t="s">
        <v>26</v>
      </c>
      <c r="Z49" s="97" t="s">
        <v>26</v>
      </c>
      <c r="AA49" s="97" t="s">
        <v>26</v>
      </c>
      <c r="AB49" s="95" t="s">
        <v>24</v>
      </c>
      <c r="AC49" s="95" t="s">
        <v>24</v>
      </c>
      <c r="AD49" s="97" t="s">
        <v>26</v>
      </c>
      <c r="AE49" s="97" t="s">
        <v>26</v>
      </c>
      <c r="AF49" s="97" t="s">
        <v>26</v>
      </c>
      <c r="AG49" s="97" t="s">
        <v>26</v>
      </c>
      <c r="AH49" s="97" t="s">
        <v>26</v>
      </c>
      <c r="AI49" s="98">
        <f t="shared" si="1"/>
        <v>31</v>
      </c>
      <c r="AJ49" s="98">
        <f t="shared" si="8"/>
        <v>18</v>
      </c>
      <c r="AK49" s="98">
        <v>9</v>
      </c>
      <c r="AL49" s="98">
        <v>4</v>
      </c>
      <c r="AM49" s="98">
        <v>0</v>
      </c>
      <c r="AN49" s="98"/>
      <c r="AO49" s="98"/>
      <c r="AP49" s="98"/>
      <c r="AQ49" s="98"/>
      <c r="AR49" s="98"/>
      <c r="AS49" s="98">
        <f t="shared" si="3"/>
        <v>0</v>
      </c>
      <c r="AT49" s="99"/>
    </row>
    <row r="50" customFormat="1" ht="34" customHeight="1" spans="1:46">
      <c r="A50" s="92">
        <f t="shared" si="9"/>
        <v>47</v>
      </c>
      <c r="B50" s="93" t="s">
        <v>104</v>
      </c>
      <c r="C50" s="94" t="s">
        <v>102</v>
      </c>
      <c r="D50" s="95" t="s">
        <v>23</v>
      </c>
      <c r="E50" s="95" t="s">
        <v>23</v>
      </c>
      <c r="F50" s="95" t="s">
        <v>23</v>
      </c>
      <c r="G50" s="95" t="s">
        <v>24</v>
      </c>
      <c r="H50" s="95" t="s">
        <v>24</v>
      </c>
      <c r="I50" s="95" t="s">
        <v>23</v>
      </c>
      <c r="J50" s="95" t="s">
        <v>24</v>
      </c>
      <c r="K50" s="95" t="s">
        <v>24</v>
      </c>
      <c r="L50" s="100" t="s">
        <v>25</v>
      </c>
      <c r="M50" s="97" t="s">
        <v>26</v>
      </c>
      <c r="N50" s="97" t="s">
        <v>26</v>
      </c>
      <c r="O50" s="95" t="s">
        <v>24</v>
      </c>
      <c r="P50" s="97" t="s">
        <v>26</v>
      </c>
      <c r="Q50" s="97" t="s">
        <v>26</v>
      </c>
      <c r="R50" s="97" t="s">
        <v>26</v>
      </c>
      <c r="S50" s="97" t="s">
        <v>26</v>
      </c>
      <c r="T50" s="97" t="s">
        <v>26</v>
      </c>
      <c r="U50" s="95" t="s">
        <v>24</v>
      </c>
      <c r="V50" s="95" t="s">
        <v>24</v>
      </c>
      <c r="W50" s="97" t="s">
        <v>26</v>
      </c>
      <c r="X50" s="97" t="s">
        <v>26</v>
      </c>
      <c r="Y50" s="97" t="s">
        <v>26</v>
      </c>
      <c r="Z50" s="97" t="s">
        <v>26</v>
      </c>
      <c r="AA50" s="97" t="s">
        <v>26</v>
      </c>
      <c r="AB50" s="95" t="s">
        <v>24</v>
      </c>
      <c r="AC50" s="95" t="s">
        <v>24</v>
      </c>
      <c r="AD50" s="97" t="s">
        <v>26</v>
      </c>
      <c r="AE50" s="97" t="s">
        <v>26</v>
      </c>
      <c r="AF50" s="97" t="s">
        <v>26</v>
      </c>
      <c r="AG50" s="97" t="s">
        <v>26</v>
      </c>
      <c r="AH50" s="97" t="s">
        <v>26</v>
      </c>
      <c r="AI50" s="98">
        <f t="shared" si="1"/>
        <v>31</v>
      </c>
      <c r="AJ50" s="98">
        <f t="shared" si="8"/>
        <v>17</v>
      </c>
      <c r="AK50" s="98">
        <v>9</v>
      </c>
      <c r="AL50" s="98">
        <v>4</v>
      </c>
      <c r="AM50" s="98">
        <v>1</v>
      </c>
      <c r="AN50" s="98"/>
      <c r="AO50" s="98"/>
      <c r="AP50" s="98"/>
      <c r="AQ50" s="98"/>
      <c r="AR50" s="98"/>
      <c r="AS50" s="98">
        <f t="shared" si="3"/>
        <v>1</v>
      </c>
      <c r="AT50" s="99"/>
    </row>
    <row r="51" customFormat="1" ht="34" customHeight="1" spans="1:46">
      <c r="A51" s="92">
        <f t="shared" si="9"/>
        <v>48</v>
      </c>
      <c r="B51" s="101" t="s">
        <v>105</v>
      </c>
      <c r="C51" s="94" t="s">
        <v>102</v>
      </c>
      <c r="D51" s="102" t="s">
        <v>34</v>
      </c>
      <c r="E51" s="102" t="s">
        <v>34</v>
      </c>
      <c r="F51" s="102" t="s">
        <v>34</v>
      </c>
      <c r="G51" s="102" t="s">
        <v>34</v>
      </c>
      <c r="H51" s="102" t="s">
        <v>34</v>
      </c>
      <c r="I51" s="102" t="s">
        <v>34</v>
      </c>
      <c r="J51" s="102" t="s">
        <v>34</v>
      </c>
      <c r="K51" s="102" t="s">
        <v>34</v>
      </c>
      <c r="L51" s="97" t="s">
        <v>26</v>
      </c>
      <c r="M51" s="97" t="s">
        <v>26</v>
      </c>
      <c r="N51" s="97" t="s">
        <v>26</v>
      </c>
      <c r="O51" s="95" t="s">
        <v>24</v>
      </c>
      <c r="P51" s="97" t="s">
        <v>26</v>
      </c>
      <c r="Q51" s="97" t="s">
        <v>26</v>
      </c>
      <c r="R51" s="97" t="s">
        <v>26</v>
      </c>
      <c r="S51" s="97" t="s">
        <v>26</v>
      </c>
      <c r="T51" s="97" t="s">
        <v>26</v>
      </c>
      <c r="U51" s="95" t="s">
        <v>24</v>
      </c>
      <c r="V51" s="95" t="s">
        <v>24</v>
      </c>
      <c r="W51" s="97" t="s">
        <v>26</v>
      </c>
      <c r="X51" s="97" t="s">
        <v>26</v>
      </c>
      <c r="Y51" s="97" t="s">
        <v>26</v>
      </c>
      <c r="Z51" s="97" t="s">
        <v>26</v>
      </c>
      <c r="AA51" s="97" t="s">
        <v>26</v>
      </c>
      <c r="AB51" s="95" t="s">
        <v>24</v>
      </c>
      <c r="AC51" s="95" t="s">
        <v>24</v>
      </c>
      <c r="AD51" s="97" t="s">
        <v>26</v>
      </c>
      <c r="AE51" s="97" t="s">
        <v>26</v>
      </c>
      <c r="AF51" s="97" t="s">
        <v>26</v>
      </c>
      <c r="AG51" s="97" t="s">
        <v>26</v>
      </c>
      <c r="AH51" s="97" t="s">
        <v>26</v>
      </c>
      <c r="AI51" s="98">
        <f t="shared" si="1"/>
        <v>31</v>
      </c>
      <c r="AJ51" s="98">
        <f t="shared" si="8"/>
        <v>18</v>
      </c>
      <c r="AK51" s="98">
        <v>9</v>
      </c>
      <c r="AL51" s="98">
        <v>4</v>
      </c>
      <c r="AM51" s="98">
        <v>0</v>
      </c>
      <c r="AN51" s="98"/>
      <c r="AO51" s="98"/>
      <c r="AP51" s="98"/>
      <c r="AQ51" s="98"/>
      <c r="AR51" s="98">
        <v>4</v>
      </c>
      <c r="AS51" s="98">
        <f t="shared" si="3"/>
        <v>4</v>
      </c>
      <c r="AT51" s="99" t="s">
        <v>106</v>
      </c>
    </row>
    <row r="52" customFormat="1" ht="34" customHeight="1" spans="1:46">
      <c r="A52" s="92">
        <f t="shared" ref="A52:A115" si="10">ROW()-3</f>
        <v>49</v>
      </c>
      <c r="B52" s="93" t="s">
        <v>107</v>
      </c>
      <c r="C52" s="94" t="s">
        <v>108</v>
      </c>
      <c r="D52" s="95" t="s">
        <v>23</v>
      </c>
      <c r="E52" s="95" t="s">
        <v>23</v>
      </c>
      <c r="F52" s="95" t="s">
        <v>23</v>
      </c>
      <c r="G52" s="95" t="s">
        <v>24</v>
      </c>
      <c r="H52" s="95" t="s">
        <v>24</v>
      </c>
      <c r="I52" s="95" t="s">
        <v>23</v>
      </c>
      <c r="J52" s="95" t="s">
        <v>24</v>
      </c>
      <c r="K52" s="95" t="s">
        <v>24</v>
      </c>
      <c r="L52" s="97" t="s">
        <v>26</v>
      </c>
      <c r="M52" s="97" t="s">
        <v>26</v>
      </c>
      <c r="N52" s="97" t="s">
        <v>26</v>
      </c>
      <c r="O52" s="95" t="s">
        <v>24</v>
      </c>
      <c r="P52" s="97" t="s">
        <v>26</v>
      </c>
      <c r="Q52" s="97" t="s">
        <v>26</v>
      </c>
      <c r="R52" s="97" t="s">
        <v>26</v>
      </c>
      <c r="S52" s="97" t="s">
        <v>26</v>
      </c>
      <c r="T52" s="97" t="s">
        <v>26</v>
      </c>
      <c r="U52" s="95" t="s">
        <v>24</v>
      </c>
      <c r="V52" s="95" t="s">
        <v>24</v>
      </c>
      <c r="W52" s="97" t="s">
        <v>26</v>
      </c>
      <c r="X52" s="97" t="s">
        <v>26</v>
      </c>
      <c r="Y52" s="97" t="s">
        <v>26</v>
      </c>
      <c r="Z52" s="97" t="s">
        <v>26</v>
      </c>
      <c r="AA52" s="97" t="s">
        <v>26</v>
      </c>
      <c r="AB52" s="95" t="s">
        <v>24</v>
      </c>
      <c r="AC52" s="95" t="s">
        <v>24</v>
      </c>
      <c r="AD52" s="97" t="s">
        <v>26</v>
      </c>
      <c r="AE52" s="97" t="s">
        <v>26</v>
      </c>
      <c r="AF52" s="97" t="s">
        <v>26</v>
      </c>
      <c r="AG52" s="97" t="s">
        <v>26</v>
      </c>
      <c r="AH52" s="97" t="s">
        <v>26</v>
      </c>
      <c r="AI52" s="98">
        <f t="shared" si="1"/>
        <v>31</v>
      </c>
      <c r="AJ52" s="98">
        <f t="shared" si="8"/>
        <v>18</v>
      </c>
      <c r="AK52" s="98">
        <v>9</v>
      </c>
      <c r="AL52" s="98">
        <v>4</v>
      </c>
      <c r="AM52" s="98">
        <v>0</v>
      </c>
      <c r="AN52" s="98"/>
      <c r="AO52" s="98"/>
      <c r="AP52" s="98"/>
      <c r="AQ52" s="98"/>
      <c r="AR52" s="98"/>
      <c r="AS52" s="98">
        <f t="shared" si="3"/>
        <v>0</v>
      </c>
      <c r="AT52" s="99"/>
    </row>
    <row r="53" customFormat="1" ht="34" customHeight="1" spans="1:46">
      <c r="A53" s="92">
        <f t="shared" si="10"/>
        <v>50</v>
      </c>
      <c r="B53" s="93" t="s">
        <v>109</v>
      </c>
      <c r="C53" s="94" t="s">
        <v>108</v>
      </c>
      <c r="D53" s="95" t="s">
        <v>23</v>
      </c>
      <c r="E53" s="95" t="s">
        <v>23</v>
      </c>
      <c r="F53" s="95" t="s">
        <v>23</v>
      </c>
      <c r="G53" s="95" t="s">
        <v>24</v>
      </c>
      <c r="H53" s="95" t="s">
        <v>24</v>
      </c>
      <c r="I53" s="95" t="s">
        <v>23</v>
      </c>
      <c r="J53" s="95" t="s">
        <v>24</v>
      </c>
      <c r="K53" s="95" t="s">
        <v>24</v>
      </c>
      <c r="L53" s="97" t="s">
        <v>26</v>
      </c>
      <c r="M53" s="97" t="s">
        <v>26</v>
      </c>
      <c r="N53" s="97" t="s">
        <v>26</v>
      </c>
      <c r="O53" s="95" t="s">
        <v>24</v>
      </c>
      <c r="P53" s="97" t="s">
        <v>26</v>
      </c>
      <c r="Q53" s="97" t="s">
        <v>26</v>
      </c>
      <c r="R53" s="97" t="s">
        <v>26</v>
      </c>
      <c r="S53" s="97" t="s">
        <v>26</v>
      </c>
      <c r="T53" s="97" t="s">
        <v>26</v>
      </c>
      <c r="U53" s="95" t="s">
        <v>24</v>
      </c>
      <c r="V53" s="95" t="s">
        <v>24</v>
      </c>
      <c r="W53" s="97" t="s">
        <v>26</v>
      </c>
      <c r="X53" s="97" t="s">
        <v>26</v>
      </c>
      <c r="Y53" s="97" t="s">
        <v>26</v>
      </c>
      <c r="Z53" s="97" t="s">
        <v>26</v>
      </c>
      <c r="AA53" s="97" t="s">
        <v>26</v>
      </c>
      <c r="AB53" s="95" t="s">
        <v>24</v>
      </c>
      <c r="AC53" s="95" t="s">
        <v>24</v>
      </c>
      <c r="AD53" s="97" t="s">
        <v>26</v>
      </c>
      <c r="AE53" s="97" t="s">
        <v>26</v>
      </c>
      <c r="AF53" s="97" t="s">
        <v>26</v>
      </c>
      <c r="AG53" s="97" t="s">
        <v>26</v>
      </c>
      <c r="AH53" s="97" t="s">
        <v>26</v>
      </c>
      <c r="AI53" s="98">
        <f t="shared" si="1"/>
        <v>31</v>
      </c>
      <c r="AJ53" s="98">
        <f t="shared" si="8"/>
        <v>18</v>
      </c>
      <c r="AK53" s="98">
        <v>9</v>
      </c>
      <c r="AL53" s="98">
        <v>4</v>
      </c>
      <c r="AM53" s="98">
        <v>0</v>
      </c>
      <c r="AN53" s="98"/>
      <c r="AO53" s="98"/>
      <c r="AP53" s="98"/>
      <c r="AQ53" s="98"/>
      <c r="AR53" s="98"/>
      <c r="AS53" s="98">
        <f t="shared" si="3"/>
        <v>0</v>
      </c>
      <c r="AT53" s="130"/>
    </row>
    <row r="54" customFormat="1" ht="34" customHeight="1" spans="1:46">
      <c r="A54" s="92">
        <f t="shared" si="10"/>
        <v>51</v>
      </c>
      <c r="B54" s="93" t="s">
        <v>110</v>
      </c>
      <c r="C54" s="94" t="s">
        <v>108</v>
      </c>
      <c r="D54" s="95" t="s">
        <v>23</v>
      </c>
      <c r="E54" s="95" t="s">
        <v>23</v>
      </c>
      <c r="F54" s="95" t="s">
        <v>23</v>
      </c>
      <c r="G54" s="95" t="s">
        <v>24</v>
      </c>
      <c r="H54" s="95" t="s">
        <v>24</v>
      </c>
      <c r="I54" s="95" t="s">
        <v>23</v>
      </c>
      <c r="J54" s="95" t="s">
        <v>24</v>
      </c>
      <c r="K54" s="95" t="s">
        <v>24</v>
      </c>
      <c r="L54" s="97" t="s">
        <v>26</v>
      </c>
      <c r="M54" s="97" t="s">
        <v>26</v>
      </c>
      <c r="N54" s="97" t="s">
        <v>26</v>
      </c>
      <c r="O54" s="95" t="s">
        <v>24</v>
      </c>
      <c r="P54" s="97" t="s">
        <v>26</v>
      </c>
      <c r="Q54" s="97" t="s">
        <v>26</v>
      </c>
      <c r="R54" s="97" t="s">
        <v>26</v>
      </c>
      <c r="S54" s="97" t="s">
        <v>26</v>
      </c>
      <c r="T54" s="97" t="s">
        <v>26</v>
      </c>
      <c r="U54" s="95" t="s">
        <v>24</v>
      </c>
      <c r="V54" s="95" t="s">
        <v>24</v>
      </c>
      <c r="W54" s="97" t="s">
        <v>26</v>
      </c>
      <c r="X54" s="97" t="s">
        <v>26</v>
      </c>
      <c r="Y54" s="97" t="s">
        <v>26</v>
      </c>
      <c r="Z54" s="97" t="s">
        <v>26</v>
      </c>
      <c r="AA54" s="97" t="s">
        <v>26</v>
      </c>
      <c r="AB54" s="95" t="s">
        <v>24</v>
      </c>
      <c r="AC54" s="95" t="s">
        <v>24</v>
      </c>
      <c r="AD54" s="97" t="s">
        <v>26</v>
      </c>
      <c r="AE54" s="97" t="s">
        <v>26</v>
      </c>
      <c r="AF54" s="97" t="s">
        <v>26</v>
      </c>
      <c r="AG54" s="97" t="s">
        <v>26</v>
      </c>
      <c r="AH54" s="97" t="s">
        <v>26</v>
      </c>
      <c r="AI54" s="98">
        <f t="shared" si="1"/>
        <v>31</v>
      </c>
      <c r="AJ54" s="98">
        <f t="shared" si="8"/>
        <v>18</v>
      </c>
      <c r="AK54" s="98">
        <v>9</v>
      </c>
      <c r="AL54" s="98">
        <v>4</v>
      </c>
      <c r="AM54" s="98">
        <v>0</v>
      </c>
      <c r="AN54" s="98"/>
      <c r="AO54" s="98"/>
      <c r="AP54" s="98"/>
      <c r="AQ54" s="98"/>
      <c r="AR54" s="98"/>
      <c r="AS54" s="98">
        <f t="shared" si="3"/>
        <v>0</v>
      </c>
      <c r="AT54" s="99"/>
    </row>
    <row r="55" customFormat="1" ht="34" customHeight="1" spans="1:46">
      <c r="A55" s="92">
        <f t="shared" si="10"/>
        <v>52</v>
      </c>
      <c r="B55" s="93" t="s">
        <v>111</v>
      </c>
      <c r="C55" s="94" t="s">
        <v>112</v>
      </c>
      <c r="D55" s="95" t="s">
        <v>23</v>
      </c>
      <c r="E55" s="95" t="s">
        <v>23</v>
      </c>
      <c r="F55" s="95" t="s">
        <v>23</v>
      </c>
      <c r="G55" s="95" t="s">
        <v>24</v>
      </c>
      <c r="H55" s="95" t="s">
        <v>24</v>
      </c>
      <c r="I55" s="95" t="s">
        <v>23</v>
      </c>
      <c r="J55" s="95" t="s">
        <v>24</v>
      </c>
      <c r="K55" s="95" t="s">
        <v>24</v>
      </c>
      <c r="L55" s="97" t="s">
        <v>26</v>
      </c>
      <c r="M55" s="97" t="s">
        <v>26</v>
      </c>
      <c r="N55" s="97" t="s">
        <v>26</v>
      </c>
      <c r="O55" s="95" t="s">
        <v>24</v>
      </c>
      <c r="P55" s="97" t="s">
        <v>26</v>
      </c>
      <c r="Q55" s="97" t="s">
        <v>26</v>
      </c>
      <c r="R55" s="97" t="s">
        <v>26</v>
      </c>
      <c r="S55" s="97" t="s">
        <v>26</v>
      </c>
      <c r="T55" s="97" t="s">
        <v>26</v>
      </c>
      <c r="U55" s="95" t="s">
        <v>24</v>
      </c>
      <c r="V55" s="95" t="s">
        <v>24</v>
      </c>
      <c r="W55" s="97" t="s">
        <v>26</v>
      </c>
      <c r="X55" s="97" t="s">
        <v>26</v>
      </c>
      <c r="Y55" s="97" t="s">
        <v>26</v>
      </c>
      <c r="Z55" s="97" t="s">
        <v>26</v>
      </c>
      <c r="AA55" s="97" t="s">
        <v>26</v>
      </c>
      <c r="AB55" s="95" t="s">
        <v>24</v>
      </c>
      <c r="AC55" s="95" t="s">
        <v>24</v>
      </c>
      <c r="AD55" s="97" t="s">
        <v>26</v>
      </c>
      <c r="AE55" s="97" t="s">
        <v>26</v>
      </c>
      <c r="AF55" s="97" t="s">
        <v>26</v>
      </c>
      <c r="AG55" s="97" t="s">
        <v>26</v>
      </c>
      <c r="AH55" s="97" t="s">
        <v>26</v>
      </c>
      <c r="AI55" s="98">
        <f t="shared" si="1"/>
        <v>31</v>
      </c>
      <c r="AJ55" s="98">
        <f t="shared" si="8"/>
        <v>18</v>
      </c>
      <c r="AK55" s="98">
        <v>9</v>
      </c>
      <c r="AL55" s="98">
        <v>4</v>
      </c>
      <c r="AM55" s="98">
        <v>0</v>
      </c>
      <c r="AN55" s="98"/>
      <c r="AO55" s="98"/>
      <c r="AP55" s="98"/>
      <c r="AQ55" s="98"/>
      <c r="AR55" s="98"/>
      <c r="AS55" s="98">
        <f t="shared" si="3"/>
        <v>0</v>
      </c>
      <c r="AT55" s="99"/>
    </row>
    <row r="56" customFormat="1" ht="34" customHeight="1" spans="1:46">
      <c r="A56" s="92">
        <f t="shared" si="10"/>
        <v>53</v>
      </c>
      <c r="B56" s="93" t="s">
        <v>113</v>
      </c>
      <c r="C56" s="94" t="s">
        <v>112</v>
      </c>
      <c r="D56" s="95" t="s">
        <v>23</v>
      </c>
      <c r="E56" s="95" t="s">
        <v>23</v>
      </c>
      <c r="F56" s="95" t="s">
        <v>23</v>
      </c>
      <c r="G56" s="95" t="s">
        <v>24</v>
      </c>
      <c r="H56" s="95" t="s">
        <v>24</v>
      </c>
      <c r="I56" s="95" t="s">
        <v>23</v>
      </c>
      <c r="J56" s="95" t="s">
        <v>24</v>
      </c>
      <c r="K56" s="95" t="s">
        <v>24</v>
      </c>
      <c r="L56" s="97" t="s">
        <v>26</v>
      </c>
      <c r="M56" s="97" t="s">
        <v>26</v>
      </c>
      <c r="N56" s="97" t="s">
        <v>26</v>
      </c>
      <c r="O56" s="95" t="s">
        <v>24</v>
      </c>
      <c r="P56" s="97" t="s">
        <v>26</v>
      </c>
      <c r="Q56" s="97" t="s">
        <v>26</v>
      </c>
      <c r="R56" s="97" t="s">
        <v>26</v>
      </c>
      <c r="S56" s="97" t="s">
        <v>26</v>
      </c>
      <c r="T56" s="97" t="s">
        <v>26</v>
      </c>
      <c r="U56" s="95" t="s">
        <v>24</v>
      </c>
      <c r="V56" s="95" t="s">
        <v>24</v>
      </c>
      <c r="W56" s="97" t="s">
        <v>26</v>
      </c>
      <c r="X56" s="97" t="s">
        <v>26</v>
      </c>
      <c r="Y56" s="97" t="s">
        <v>26</v>
      </c>
      <c r="Z56" s="97" t="s">
        <v>26</v>
      </c>
      <c r="AA56" s="97" t="s">
        <v>26</v>
      </c>
      <c r="AB56" s="95" t="s">
        <v>24</v>
      </c>
      <c r="AC56" s="95" t="s">
        <v>24</v>
      </c>
      <c r="AD56" s="97" t="s">
        <v>26</v>
      </c>
      <c r="AE56" s="97" t="s">
        <v>26</v>
      </c>
      <c r="AF56" s="97" t="s">
        <v>26</v>
      </c>
      <c r="AG56" s="97" t="s">
        <v>26</v>
      </c>
      <c r="AH56" s="97" t="s">
        <v>26</v>
      </c>
      <c r="AI56" s="98">
        <f t="shared" si="1"/>
        <v>31</v>
      </c>
      <c r="AJ56" s="98">
        <f t="shared" si="8"/>
        <v>18</v>
      </c>
      <c r="AK56" s="98">
        <v>9</v>
      </c>
      <c r="AL56" s="98">
        <v>4</v>
      </c>
      <c r="AM56" s="98">
        <v>0</v>
      </c>
      <c r="AN56" s="98"/>
      <c r="AO56" s="98"/>
      <c r="AP56" s="98"/>
      <c r="AQ56" s="98"/>
      <c r="AR56" s="98"/>
      <c r="AS56" s="98">
        <f t="shared" si="3"/>
        <v>0</v>
      </c>
      <c r="AT56" s="99"/>
    </row>
    <row r="57" customFormat="1" ht="34" customHeight="1" spans="1:46">
      <c r="A57" s="92">
        <f t="shared" si="10"/>
        <v>54</v>
      </c>
      <c r="B57" s="93" t="s">
        <v>114</v>
      </c>
      <c r="C57" s="94" t="s">
        <v>112</v>
      </c>
      <c r="D57" s="95" t="s">
        <v>23</v>
      </c>
      <c r="E57" s="95" t="s">
        <v>23</v>
      </c>
      <c r="F57" s="95" t="s">
        <v>23</v>
      </c>
      <c r="G57" s="95" t="s">
        <v>24</v>
      </c>
      <c r="H57" s="95" t="s">
        <v>24</v>
      </c>
      <c r="I57" s="95" t="s">
        <v>23</v>
      </c>
      <c r="J57" s="95" t="s">
        <v>24</v>
      </c>
      <c r="K57" s="95" t="s">
        <v>24</v>
      </c>
      <c r="L57" s="97" t="s">
        <v>26</v>
      </c>
      <c r="M57" s="97" t="s">
        <v>26</v>
      </c>
      <c r="N57" s="97" t="s">
        <v>26</v>
      </c>
      <c r="O57" s="95" t="s">
        <v>24</v>
      </c>
      <c r="P57" s="97" t="s">
        <v>26</v>
      </c>
      <c r="Q57" s="97" t="s">
        <v>26</v>
      </c>
      <c r="R57" s="97" t="s">
        <v>26</v>
      </c>
      <c r="S57" s="97" t="s">
        <v>26</v>
      </c>
      <c r="T57" s="97" t="s">
        <v>26</v>
      </c>
      <c r="U57" s="95" t="s">
        <v>24</v>
      </c>
      <c r="V57" s="95" t="s">
        <v>24</v>
      </c>
      <c r="W57" s="97" t="s">
        <v>26</v>
      </c>
      <c r="X57" s="97" t="s">
        <v>26</v>
      </c>
      <c r="Y57" s="97" t="s">
        <v>26</v>
      </c>
      <c r="Z57" s="97" t="s">
        <v>26</v>
      </c>
      <c r="AA57" s="97" t="s">
        <v>26</v>
      </c>
      <c r="AB57" s="95" t="s">
        <v>24</v>
      </c>
      <c r="AC57" s="95" t="s">
        <v>24</v>
      </c>
      <c r="AD57" s="97" t="s">
        <v>26</v>
      </c>
      <c r="AE57" s="97" t="s">
        <v>26</v>
      </c>
      <c r="AF57" s="97" t="s">
        <v>26</v>
      </c>
      <c r="AG57" s="97" t="s">
        <v>26</v>
      </c>
      <c r="AH57" s="97" t="s">
        <v>26</v>
      </c>
      <c r="AI57" s="98">
        <f t="shared" si="1"/>
        <v>31</v>
      </c>
      <c r="AJ57" s="98">
        <f t="shared" si="8"/>
        <v>18</v>
      </c>
      <c r="AK57" s="98">
        <v>9</v>
      </c>
      <c r="AL57" s="98">
        <v>4</v>
      </c>
      <c r="AM57" s="98">
        <v>0</v>
      </c>
      <c r="AN57" s="98"/>
      <c r="AO57" s="98"/>
      <c r="AP57" s="98"/>
      <c r="AQ57" s="98"/>
      <c r="AR57" s="98"/>
      <c r="AS57" s="98">
        <f t="shared" si="3"/>
        <v>0</v>
      </c>
      <c r="AT57" s="99"/>
    </row>
    <row r="58" ht="34" customHeight="1" spans="1:46">
      <c r="A58" s="92">
        <f t="shared" si="10"/>
        <v>55</v>
      </c>
      <c r="B58" s="93" t="s">
        <v>115</v>
      </c>
      <c r="C58" s="94" t="s">
        <v>116</v>
      </c>
      <c r="D58" s="95" t="s">
        <v>23</v>
      </c>
      <c r="E58" s="95" t="s">
        <v>23</v>
      </c>
      <c r="F58" s="95" t="s">
        <v>23</v>
      </c>
      <c r="G58" s="95" t="s">
        <v>24</v>
      </c>
      <c r="H58" s="95" t="s">
        <v>24</v>
      </c>
      <c r="I58" s="95" t="s">
        <v>23</v>
      </c>
      <c r="J58" s="95" t="s">
        <v>24</v>
      </c>
      <c r="K58" s="95" t="s">
        <v>24</v>
      </c>
      <c r="L58" s="97" t="s">
        <v>26</v>
      </c>
      <c r="M58" s="97" t="s">
        <v>26</v>
      </c>
      <c r="N58" s="97" t="s">
        <v>26</v>
      </c>
      <c r="O58" s="95" t="s">
        <v>24</v>
      </c>
      <c r="P58" s="97" t="s">
        <v>26</v>
      </c>
      <c r="Q58" s="97" t="s">
        <v>26</v>
      </c>
      <c r="R58" s="97" t="s">
        <v>26</v>
      </c>
      <c r="S58" s="97" t="s">
        <v>26</v>
      </c>
      <c r="T58" s="97" t="s">
        <v>26</v>
      </c>
      <c r="U58" s="95" t="s">
        <v>24</v>
      </c>
      <c r="V58" s="95" t="s">
        <v>24</v>
      </c>
      <c r="W58" s="97" t="s">
        <v>26</v>
      </c>
      <c r="X58" s="97" t="s">
        <v>26</v>
      </c>
      <c r="Y58" s="97" t="s">
        <v>26</v>
      </c>
      <c r="Z58" s="97" t="s">
        <v>26</v>
      </c>
      <c r="AA58" s="97" t="s">
        <v>26</v>
      </c>
      <c r="AB58" s="95" t="s">
        <v>24</v>
      </c>
      <c r="AC58" s="95" t="s">
        <v>24</v>
      </c>
      <c r="AD58" s="97" t="s">
        <v>26</v>
      </c>
      <c r="AE58" s="97" t="s">
        <v>26</v>
      </c>
      <c r="AF58" s="97" t="s">
        <v>26</v>
      </c>
      <c r="AG58" s="97" t="s">
        <v>26</v>
      </c>
      <c r="AH58" s="97" t="s">
        <v>26</v>
      </c>
      <c r="AI58" s="98">
        <f t="shared" si="1"/>
        <v>31</v>
      </c>
      <c r="AJ58" s="98">
        <f t="shared" si="8"/>
        <v>18</v>
      </c>
      <c r="AK58" s="98">
        <v>9</v>
      </c>
      <c r="AL58" s="98">
        <v>4</v>
      </c>
      <c r="AM58" s="98">
        <v>0</v>
      </c>
      <c r="AN58" s="98"/>
      <c r="AO58" s="98"/>
      <c r="AP58" s="98"/>
      <c r="AQ58" s="98"/>
      <c r="AR58" s="98"/>
      <c r="AS58" s="98">
        <f t="shared" si="3"/>
        <v>0</v>
      </c>
      <c r="AT58" s="99"/>
    </row>
    <row r="59" customFormat="1" ht="34" customHeight="1" spans="1:46">
      <c r="A59" s="92">
        <f t="shared" si="10"/>
        <v>56</v>
      </c>
      <c r="B59" s="93" t="s">
        <v>117</v>
      </c>
      <c r="C59" s="94" t="s">
        <v>116</v>
      </c>
      <c r="D59" s="95" t="s">
        <v>23</v>
      </c>
      <c r="E59" s="95" t="s">
        <v>23</v>
      </c>
      <c r="F59" s="95" t="s">
        <v>23</v>
      </c>
      <c r="G59" s="95" t="s">
        <v>24</v>
      </c>
      <c r="H59" s="95" t="s">
        <v>24</v>
      </c>
      <c r="I59" s="95" t="s">
        <v>23</v>
      </c>
      <c r="J59" s="95" t="s">
        <v>24</v>
      </c>
      <c r="K59" s="95" t="s">
        <v>24</v>
      </c>
      <c r="L59" s="97" t="s">
        <v>26</v>
      </c>
      <c r="M59" s="97" t="s">
        <v>26</v>
      </c>
      <c r="N59" s="97" t="s">
        <v>26</v>
      </c>
      <c r="O59" s="95" t="s">
        <v>24</v>
      </c>
      <c r="P59" s="97" t="s">
        <v>26</v>
      </c>
      <c r="Q59" s="97" t="s">
        <v>26</v>
      </c>
      <c r="R59" s="97" t="s">
        <v>26</v>
      </c>
      <c r="S59" s="97" t="s">
        <v>26</v>
      </c>
      <c r="T59" s="97" t="s">
        <v>26</v>
      </c>
      <c r="U59" s="95" t="s">
        <v>24</v>
      </c>
      <c r="V59" s="95" t="s">
        <v>24</v>
      </c>
      <c r="W59" s="97" t="s">
        <v>26</v>
      </c>
      <c r="X59" s="97" t="s">
        <v>26</v>
      </c>
      <c r="Y59" s="97" t="s">
        <v>26</v>
      </c>
      <c r="Z59" s="97" t="s">
        <v>26</v>
      </c>
      <c r="AA59" s="97" t="s">
        <v>26</v>
      </c>
      <c r="AB59" s="95" t="s">
        <v>24</v>
      </c>
      <c r="AC59" s="95" t="s">
        <v>24</v>
      </c>
      <c r="AD59" s="97" t="s">
        <v>26</v>
      </c>
      <c r="AE59" s="97" t="s">
        <v>26</v>
      </c>
      <c r="AF59" s="97" t="s">
        <v>26</v>
      </c>
      <c r="AG59" s="97" t="s">
        <v>26</v>
      </c>
      <c r="AH59" s="97" t="s">
        <v>26</v>
      </c>
      <c r="AI59" s="98">
        <f t="shared" si="1"/>
        <v>31</v>
      </c>
      <c r="AJ59" s="98">
        <f t="shared" si="8"/>
        <v>18</v>
      </c>
      <c r="AK59" s="98">
        <v>9</v>
      </c>
      <c r="AL59" s="98">
        <v>4</v>
      </c>
      <c r="AM59" s="98">
        <v>0</v>
      </c>
      <c r="AN59" s="98"/>
      <c r="AO59" s="98"/>
      <c r="AP59" s="98"/>
      <c r="AQ59" s="98"/>
      <c r="AR59" s="98"/>
      <c r="AS59" s="98">
        <f t="shared" si="3"/>
        <v>0</v>
      </c>
      <c r="AT59" s="99"/>
    </row>
    <row r="60" ht="34" customHeight="1" spans="1:46">
      <c r="A60" s="92">
        <f t="shared" si="10"/>
        <v>57</v>
      </c>
      <c r="B60" s="93" t="s">
        <v>118</v>
      </c>
      <c r="C60" s="94" t="s">
        <v>116</v>
      </c>
      <c r="D60" s="95" t="s">
        <v>23</v>
      </c>
      <c r="E60" s="95" t="s">
        <v>23</v>
      </c>
      <c r="F60" s="95" t="s">
        <v>23</v>
      </c>
      <c r="G60" s="95" t="s">
        <v>24</v>
      </c>
      <c r="H60" s="95" t="s">
        <v>24</v>
      </c>
      <c r="I60" s="95" t="s">
        <v>23</v>
      </c>
      <c r="J60" s="95" t="s">
        <v>24</v>
      </c>
      <c r="K60" s="95" t="s">
        <v>24</v>
      </c>
      <c r="L60" s="97" t="s">
        <v>26</v>
      </c>
      <c r="M60" s="97" t="s">
        <v>26</v>
      </c>
      <c r="N60" s="97" t="s">
        <v>26</v>
      </c>
      <c r="O60" s="95" t="s">
        <v>24</v>
      </c>
      <c r="P60" s="97" t="s">
        <v>26</v>
      </c>
      <c r="Q60" s="97" t="s">
        <v>26</v>
      </c>
      <c r="R60" s="97" t="s">
        <v>26</v>
      </c>
      <c r="S60" s="97" t="s">
        <v>26</v>
      </c>
      <c r="T60" s="96" t="s">
        <v>119</v>
      </c>
      <c r="U60" s="95" t="s">
        <v>24</v>
      </c>
      <c r="V60" s="95" t="s">
        <v>24</v>
      </c>
      <c r="W60" s="97" t="s">
        <v>26</v>
      </c>
      <c r="X60" s="97" t="s">
        <v>26</v>
      </c>
      <c r="Y60" s="97" t="s">
        <v>26</v>
      </c>
      <c r="Z60" s="97" t="s">
        <v>26</v>
      </c>
      <c r="AA60" s="97" t="s">
        <v>26</v>
      </c>
      <c r="AB60" s="95" t="s">
        <v>24</v>
      </c>
      <c r="AC60" s="95" t="s">
        <v>24</v>
      </c>
      <c r="AD60" s="97" t="s">
        <v>26</v>
      </c>
      <c r="AE60" s="97" t="s">
        <v>26</v>
      </c>
      <c r="AF60" s="97" t="s">
        <v>26</v>
      </c>
      <c r="AG60" s="96" t="s">
        <v>120</v>
      </c>
      <c r="AH60" s="97" t="s">
        <v>26</v>
      </c>
      <c r="AI60" s="98">
        <f t="shared" si="1"/>
        <v>31</v>
      </c>
      <c r="AJ60" s="98">
        <f t="shared" si="8"/>
        <v>17.56</v>
      </c>
      <c r="AK60" s="98">
        <v>9</v>
      </c>
      <c r="AL60" s="98">
        <v>4</v>
      </c>
      <c r="AM60" s="98">
        <v>0.44</v>
      </c>
      <c r="AN60" s="98"/>
      <c r="AO60" s="98">
        <v>0.44</v>
      </c>
      <c r="AP60" s="98"/>
      <c r="AQ60" s="98"/>
      <c r="AR60" s="98"/>
      <c r="AS60" s="98">
        <f t="shared" si="3"/>
        <v>0</v>
      </c>
      <c r="AT60" s="99" t="s">
        <v>30</v>
      </c>
    </row>
    <row r="61" customFormat="1" ht="34" customHeight="1" spans="1:46">
      <c r="A61" s="92">
        <f t="shared" si="10"/>
        <v>58</v>
      </c>
      <c r="B61" s="93" t="s">
        <v>121</v>
      </c>
      <c r="C61" s="94" t="s">
        <v>116</v>
      </c>
      <c r="D61" s="95" t="s">
        <v>23</v>
      </c>
      <c r="E61" s="95" t="s">
        <v>23</v>
      </c>
      <c r="F61" s="95" t="s">
        <v>23</v>
      </c>
      <c r="G61" s="95" t="s">
        <v>24</v>
      </c>
      <c r="H61" s="95" t="s">
        <v>24</v>
      </c>
      <c r="I61" s="95" t="s">
        <v>23</v>
      </c>
      <c r="J61" s="95" t="s">
        <v>24</v>
      </c>
      <c r="K61" s="95" t="s">
        <v>24</v>
      </c>
      <c r="L61" s="97" t="s">
        <v>26</v>
      </c>
      <c r="M61" s="97" t="s">
        <v>26</v>
      </c>
      <c r="N61" s="97" t="s">
        <v>26</v>
      </c>
      <c r="O61" s="95" t="s">
        <v>24</v>
      </c>
      <c r="P61" s="97" t="s">
        <v>26</v>
      </c>
      <c r="Q61" s="97" t="s">
        <v>26</v>
      </c>
      <c r="R61" s="97" t="s">
        <v>26</v>
      </c>
      <c r="S61" s="97" t="s">
        <v>26</v>
      </c>
      <c r="T61" s="97" t="s">
        <v>26</v>
      </c>
      <c r="U61" s="95" t="s">
        <v>24</v>
      </c>
      <c r="V61" s="95" t="s">
        <v>24</v>
      </c>
      <c r="W61" s="97" t="s">
        <v>26</v>
      </c>
      <c r="X61" s="97" t="s">
        <v>26</v>
      </c>
      <c r="Y61" s="97" t="s">
        <v>26</v>
      </c>
      <c r="Z61" s="97" t="s">
        <v>26</v>
      </c>
      <c r="AA61" s="97" t="s">
        <v>26</v>
      </c>
      <c r="AB61" s="95" t="s">
        <v>24</v>
      </c>
      <c r="AC61" s="95" t="s">
        <v>24</v>
      </c>
      <c r="AD61" s="97" t="s">
        <v>26</v>
      </c>
      <c r="AE61" s="97" t="s">
        <v>26</v>
      </c>
      <c r="AF61" s="97" t="s">
        <v>26</v>
      </c>
      <c r="AG61" s="97" t="s">
        <v>26</v>
      </c>
      <c r="AH61" s="97" t="s">
        <v>26</v>
      </c>
      <c r="AI61" s="98">
        <f t="shared" si="1"/>
        <v>31</v>
      </c>
      <c r="AJ61" s="98">
        <f t="shared" si="8"/>
        <v>18</v>
      </c>
      <c r="AK61" s="98">
        <v>9</v>
      </c>
      <c r="AL61" s="98">
        <v>4</v>
      </c>
      <c r="AM61" s="98">
        <v>0</v>
      </c>
      <c r="AN61" s="98"/>
      <c r="AO61" s="98"/>
      <c r="AP61" s="98"/>
      <c r="AQ61" s="98"/>
      <c r="AR61" s="98"/>
      <c r="AS61" s="98">
        <f t="shared" si="3"/>
        <v>0</v>
      </c>
      <c r="AT61" s="99"/>
    </row>
    <row r="62" ht="34" customHeight="1" spans="1:46">
      <c r="A62" s="92">
        <f t="shared" si="10"/>
        <v>59</v>
      </c>
      <c r="B62" s="93" t="s">
        <v>122</v>
      </c>
      <c r="C62" s="94" t="s">
        <v>116</v>
      </c>
      <c r="D62" s="95" t="s">
        <v>23</v>
      </c>
      <c r="E62" s="95" t="s">
        <v>23</v>
      </c>
      <c r="F62" s="95" t="s">
        <v>23</v>
      </c>
      <c r="G62" s="95" t="s">
        <v>24</v>
      </c>
      <c r="H62" s="95" t="s">
        <v>24</v>
      </c>
      <c r="I62" s="95" t="s">
        <v>23</v>
      </c>
      <c r="J62" s="95" t="s">
        <v>24</v>
      </c>
      <c r="K62" s="95" t="s">
        <v>24</v>
      </c>
      <c r="L62" s="97" t="s">
        <v>26</v>
      </c>
      <c r="M62" s="97" t="s">
        <v>26</v>
      </c>
      <c r="N62" s="97" t="s">
        <v>26</v>
      </c>
      <c r="O62" s="95" t="s">
        <v>24</v>
      </c>
      <c r="P62" s="97" t="s">
        <v>26</v>
      </c>
      <c r="Q62" s="97" t="s">
        <v>26</v>
      </c>
      <c r="R62" s="97" t="s">
        <v>26</v>
      </c>
      <c r="S62" s="97" t="s">
        <v>26</v>
      </c>
      <c r="T62" s="97" t="s">
        <v>26</v>
      </c>
      <c r="U62" s="95" t="s">
        <v>24</v>
      </c>
      <c r="V62" s="95" t="s">
        <v>24</v>
      </c>
      <c r="W62" s="97" t="s">
        <v>26</v>
      </c>
      <c r="X62" s="97" t="s">
        <v>26</v>
      </c>
      <c r="Y62" s="97" t="s">
        <v>26</v>
      </c>
      <c r="Z62" s="97" t="s">
        <v>26</v>
      </c>
      <c r="AA62" s="97" t="s">
        <v>26</v>
      </c>
      <c r="AB62" s="95" t="s">
        <v>24</v>
      </c>
      <c r="AC62" s="95" t="s">
        <v>24</v>
      </c>
      <c r="AD62" s="97" t="s">
        <v>26</v>
      </c>
      <c r="AE62" s="97" t="s">
        <v>26</v>
      </c>
      <c r="AF62" s="97" t="s">
        <v>26</v>
      </c>
      <c r="AG62" s="97" t="s">
        <v>26</v>
      </c>
      <c r="AH62" s="97" t="s">
        <v>26</v>
      </c>
      <c r="AI62" s="98">
        <f t="shared" si="1"/>
        <v>31</v>
      </c>
      <c r="AJ62" s="98">
        <f t="shared" si="8"/>
        <v>18</v>
      </c>
      <c r="AK62" s="98">
        <v>9</v>
      </c>
      <c r="AL62" s="98">
        <v>4</v>
      </c>
      <c r="AM62" s="98">
        <v>0</v>
      </c>
      <c r="AN62" s="98"/>
      <c r="AO62" s="98"/>
      <c r="AP62" s="98"/>
      <c r="AQ62" s="98"/>
      <c r="AR62" s="98"/>
      <c r="AS62" s="98">
        <f t="shared" si="3"/>
        <v>0</v>
      </c>
      <c r="AT62" s="99"/>
    </row>
    <row r="63" ht="36" customHeight="1" spans="1:46">
      <c r="A63" s="92">
        <f t="shared" si="10"/>
        <v>60</v>
      </c>
      <c r="B63" s="93" t="s">
        <v>123</v>
      </c>
      <c r="C63" s="94" t="s">
        <v>116</v>
      </c>
      <c r="D63" s="95" t="s">
        <v>23</v>
      </c>
      <c r="E63" s="95" t="s">
        <v>23</v>
      </c>
      <c r="F63" s="95" t="s">
        <v>23</v>
      </c>
      <c r="G63" s="95" t="s">
        <v>24</v>
      </c>
      <c r="H63" s="95" t="s">
        <v>24</v>
      </c>
      <c r="I63" s="95" t="s">
        <v>23</v>
      </c>
      <c r="J63" s="95" t="s">
        <v>24</v>
      </c>
      <c r="K63" s="95" t="s">
        <v>24</v>
      </c>
      <c r="L63" s="97" t="s">
        <v>26</v>
      </c>
      <c r="M63" s="97" t="s">
        <v>26</v>
      </c>
      <c r="N63" s="97" t="s">
        <v>26</v>
      </c>
      <c r="O63" s="95" t="s">
        <v>24</v>
      </c>
      <c r="P63" s="97" t="s">
        <v>26</v>
      </c>
      <c r="Q63" s="97" t="s">
        <v>26</v>
      </c>
      <c r="R63" s="100" t="s">
        <v>124</v>
      </c>
      <c r="S63" s="97" t="s">
        <v>26</v>
      </c>
      <c r="T63" s="97" t="s">
        <v>26</v>
      </c>
      <c r="U63" s="95" t="s">
        <v>24</v>
      </c>
      <c r="V63" s="95" t="s">
        <v>24</v>
      </c>
      <c r="W63" s="97" t="s">
        <v>26</v>
      </c>
      <c r="X63" s="97" t="s">
        <v>26</v>
      </c>
      <c r="Y63" s="97" t="s">
        <v>26</v>
      </c>
      <c r="Z63" s="97" t="s">
        <v>26</v>
      </c>
      <c r="AA63" s="97" t="s">
        <v>26</v>
      </c>
      <c r="AB63" s="95" t="s">
        <v>24</v>
      </c>
      <c r="AC63" s="95" t="s">
        <v>24</v>
      </c>
      <c r="AD63" s="97" t="s">
        <v>26</v>
      </c>
      <c r="AE63" s="97" t="s">
        <v>26</v>
      </c>
      <c r="AF63" s="97" t="s">
        <v>26</v>
      </c>
      <c r="AG63" s="100" t="s">
        <v>25</v>
      </c>
      <c r="AH63" s="97" t="s">
        <v>26</v>
      </c>
      <c r="AI63" s="98">
        <f t="shared" si="1"/>
        <v>31</v>
      </c>
      <c r="AJ63" s="98">
        <f t="shared" si="8"/>
        <v>16.62</v>
      </c>
      <c r="AK63" s="98">
        <v>9</v>
      </c>
      <c r="AL63" s="98">
        <v>4</v>
      </c>
      <c r="AM63" s="98">
        <v>1.38</v>
      </c>
      <c r="AN63" s="98"/>
      <c r="AO63" s="98"/>
      <c r="AP63" s="98"/>
      <c r="AQ63" s="98"/>
      <c r="AR63" s="98"/>
      <c r="AS63" s="98">
        <f t="shared" si="3"/>
        <v>1.38</v>
      </c>
      <c r="AT63" s="99"/>
    </row>
    <row r="64" customFormat="1" ht="34" customHeight="1" spans="1:46">
      <c r="A64" s="92">
        <f t="shared" si="10"/>
        <v>61</v>
      </c>
      <c r="B64" s="93" t="s">
        <v>125</v>
      </c>
      <c r="C64" s="94" t="s">
        <v>116</v>
      </c>
      <c r="D64" s="95" t="s">
        <v>23</v>
      </c>
      <c r="E64" s="95" t="s">
        <v>23</v>
      </c>
      <c r="F64" s="95" t="s">
        <v>23</v>
      </c>
      <c r="G64" s="95" t="s">
        <v>24</v>
      </c>
      <c r="H64" s="95" t="s">
        <v>24</v>
      </c>
      <c r="I64" s="95" t="s">
        <v>23</v>
      </c>
      <c r="J64" s="95" t="s">
        <v>24</v>
      </c>
      <c r="K64" s="95" t="s">
        <v>24</v>
      </c>
      <c r="L64" s="97" t="s">
        <v>26</v>
      </c>
      <c r="M64" s="97" t="s">
        <v>26</v>
      </c>
      <c r="N64" s="97" t="s">
        <v>26</v>
      </c>
      <c r="O64" s="95" t="s">
        <v>24</v>
      </c>
      <c r="P64" s="97" t="s">
        <v>26</v>
      </c>
      <c r="Q64" s="97" t="s">
        <v>26</v>
      </c>
      <c r="R64" s="97" t="s">
        <v>26</v>
      </c>
      <c r="S64" s="97" t="s">
        <v>26</v>
      </c>
      <c r="T64" s="97" t="s">
        <v>26</v>
      </c>
      <c r="U64" s="95" t="s">
        <v>24</v>
      </c>
      <c r="V64" s="95" t="s">
        <v>24</v>
      </c>
      <c r="W64" s="97" t="s">
        <v>26</v>
      </c>
      <c r="X64" s="97" t="s">
        <v>26</v>
      </c>
      <c r="Y64" s="97" t="s">
        <v>26</v>
      </c>
      <c r="Z64" s="97" t="s">
        <v>26</v>
      </c>
      <c r="AA64" s="97" t="s">
        <v>26</v>
      </c>
      <c r="AB64" s="95" t="s">
        <v>24</v>
      </c>
      <c r="AC64" s="95" t="s">
        <v>24</v>
      </c>
      <c r="AD64" s="97" t="s">
        <v>26</v>
      </c>
      <c r="AE64" s="97" t="s">
        <v>26</v>
      </c>
      <c r="AF64" s="97" t="s">
        <v>26</v>
      </c>
      <c r="AG64" s="97" t="s">
        <v>26</v>
      </c>
      <c r="AH64" s="97" t="s">
        <v>26</v>
      </c>
      <c r="AI64" s="98">
        <f t="shared" si="1"/>
        <v>31</v>
      </c>
      <c r="AJ64" s="98">
        <f t="shared" si="8"/>
        <v>18</v>
      </c>
      <c r="AK64" s="98">
        <v>9</v>
      </c>
      <c r="AL64" s="98">
        <v>4</v>
      </c>
      <c r="AM64" s="98">
        <v>0</v>
      </c>
      <c r="AN64" s="98"/>
      <c r="AO64" s="98"/>
      <c r="AP64" s="98"/>
      <c r="AQ64" s="98"/>
      <c r="AR64" s="98"/>
      <c r="AS64" s="98">
        <f t="shared" si="3"/>
        <v>0</v>
      </c>
      <c r="AT64" s="89"/>
    </row>
    <row r="65" ht="34" customHeight="1" spans="1:46">
      <c r="A65" s="92">
        <f t="shared" si="10"/>
        <v>62</v>
      </c>
      <c r="B65" s="93" t="s">
        <v>126</v>
      </c>
      <c r="C65" s="94" t="s">
        <v>116</v>
      </c>
      <c r="D65" s="95" t="s">
        <v>23</v>
      </c>
      <c r="E65" s="95" t="s">
        <v>23</v>
      </c>
      <c r="F65" s="95" t="s">
        <v>23</v>
      </c>
      <c r="G65" s="95" t="s">
        <v>24</v>
      </c>
      <c r="H65" s="95" t="s">
        <v>24</v>
      </c>
      <c r="I65" s="95" t="s">
        <v>23</v>
      </c>
      <c r="J65" s="95" t="s">
        <v>24</v>
      </c>
      <c r="K65" s="95" t="s">
        <v>24</v>
      </c>
      <c r="L65" s="97" t="s">
        <v>26</v>
      </c>
      <c r="M65" s="97" t="s">
        <v>26</v>
      </c>
      <c r="N65" s="97" t="s">
        <v>26</v>
      </c>
      <c r="O65" s="95" t="s">
        <v>24</v>
      </c>
      <c r="P65" s="97" t="s">
        <v>26</v>
      </c>
      <c r="Q65" s="97" t="s">
        <v>26</v>
      </c>
      <c r="R65" s="97" t="s">
        <v>26</v>
      </c>
      <c r="S65" s="97" t="s">
        <v>26</v>
      </c>
      <c r="T65" s="97" t="s">
        <v>26</v>
      </c>
      <c r="U65" s="95" t="s">
        <v>24</v>
      </c>
      <c r="V65" s="95" t="s">
        <v>24</v>
      </c>
      <c r="W65" s="97" t="s">
        <v>26</v>
      </c>
      <c r="X65" s="97" t="s">
        <v>26</v>
      </c>
      <c r="Y65" s="97" t="s">
        <v>26</v>
      </c>
      <c r="Z65" s="97" t="s">
        <v>26</v>
      </c>
      <c r="AA65" s="97" t="s">
        <v>26</v>
      </c>
      <c r="AB65" s="95" t="s">
        <v>24</v>
      </c>
      <c r="AC65" s="95" t="s">
        <v>24</v>
      </c>
      <c r="AD65" s="96" t="s">
        <v>88</v>
      </c>
      <c r="AE65" s="97" t="s">
        <v>26</v>
      </c>
      <c r="AF65" s="97" t="s">
        <v>26</v>
      </c>
      <c r="AG65" s="97" t="s">
        <v>26</v>
      </c>
      <c r="AH65" s="97" t="s">
        <v>26</v>
      </c>
      <c r="AI65" s="98">
        <f t="shared" si="1"/>
        <v>31</v>
      </c>
      <c r="AJ65" s="98">
        <f t="shared" si="8"/>
        <v>17</v>
      </c>
      <c r="AK65" s="98">
        <v>9</v>
      </c>
      <c r="AL65" s="98">
        <v>4</v>
      </c>
      <c r="AM65" s="98">
        <v>1</v>
      </c>
      <c r="AN65" s="98"/>
      <c r="AO65" s="98">
        <v>1</v>
      </c>
      <c r="AP65" s="98"/>
      <c r="AQ65" s="98"/>
      <c r="AR65" s="98"/>
      <c r="AS65" s="98">
        <f t="shared" si="3"/>
        <v>0</v>
      </c>
      <c r="AT65" s="99" t="s">
        <v>89</v>
      </c>
    </row>
    <row r="66" ht="34" customHeight="1" spans="1:46">
      <c r="A66" s="92">
        <f t="shared" si="10"/>
        <v>63</v>
      </c>
      <c r="B66" s="93" t="s">
        <v>127</v>
      </c>
      <c r="C66" s="94" t="s">
        <v>116</v>
      </c>
      <c r="D66" s="95" t="s">
        <v>23</v>
      </c>
      <c r="E66" s="95" t="s">
        <v>23</v>
      </c>
      <c r="F66" s="95" t="s">
        <v>23</v>
      </c>
      <c r="G66" s="95" t="s">
        <v>24</v>
      </c>
      <c r="H66" s="95" t="s">
        <v>24</v>
      </c>
      <c r="I66" s="95" t="s">
        <v>23</v>
      </c>
      <c r="J66" s="95" t="s">
        <v>24</v>
      </c>
      <c r="K66" s="95" t="s">
        <v>24</v>
      </c>
      <c r="L66" s="97" t="s">
        <v>26</v>
      </c>
      <c r="M66" s="97" t="s">
        <v>26</v>
      </c>
      <c r="N66" s="97" t="s">
        <v>26</v>
      </c>
      <c r="O66" s="95" t="s">
        <v>24</v>
      </c>
      <c r="P66" s="97" t="s">
        <v>26</v>
      </c>
      <c r="Q66" s="97" t="s">
        <v>26</v>
      </c>
      <c r="R66" s="97" t="s">
        <v>26</v>
      </c>
      <c r="S66" s="97" t="s">
        <v>26</v>
      </c>
      <c r="T66" s="97" t="s">
        <v>26</v>
      </c>
      <c r="U66" s="95" t="s">
        <v>24</v>
      </c>
      <c r="V66" s="95" t="s">
        <v>24</v>
      </c>
      <c r="W66" s="97" t="s">
        <v>26</v>
      </c>
      <c r="X66" s="97" t="s">
        <v>26</v>
      </c>
      <c r="Y66" s="97" t="s">
        <v>26</v>
      </c>
      <c r="Z66" s="97" t="s">
        <v>26</v>
      </c>
      <c r="AA66" s="97" t="s">
        <v>26</v>
      </c>
      <c r="AB66" s="95" t="s">
        <v>24</v>
      </c>
      <c r="AC66" s="95" t="s">
        <v>24</v>
      </c>
      <c r="AD66" s="97" t="s">
        <v>26</v>
      </c>
      <c r="AE66" s="97" t="s">
        <v>26</v>
      </c>
      <c r="AF66" s="97" t="s">
        <v>26</v>
      </c>
      <c r="AG66" s="97" t="s">
        <v>26</v>
      </c>
      <c r="AH66" s="97" t="s">
        <v>26</v>
      </c>
      <c r="AI66" s="98">
        <f t="shared" si="1"/>
        <v>31</v>
      </c>
      <c r="AJ66" s="98">
        <f t="shared" si="8"/>
        <v>18</v>
      </c>
      <c r="AK66" s="98">
        <v>9</v>
      </c>
      <c r="AL66" s="98">
        <v>4</v>
      </c>
      <c r="AM66" s="98">
        <v>0</v>
      </c>
      <c r="AN66" s="98"/>
      <c r="AO66" s="98"/>
      <c r="AP66" s="98"/>
      <c r="AQ66" s="98"/>
      <c r="AR66" s="98"/>
      <c r="AS66" s="98">
        <f t="shared" si="3"/>
        <v>0</v>
      </c>
      <c r="AT66" s="99"/>
    </row>
    <row r="67" customFormat="1" ht="34" customHeight="1" spans="1:46">
      <c r="A67" s="92">
        <f t="shared" si="10"/>
        <v>64</v>
      </c>
      <c r="B67" s="93" t="s">
        <v>128</v>
      </c>
      <c r="C67" s="94" t="s">
        <v>116</v>
      </c>
      <c r="D67" s="95" t="s">
        <v>23</v>
      </c>
      <c r="E67" s="95" t="s">
        <v>23</v>
      </c>
      <c r="F67" s="95" t="s">
        <v>23</v>
      </c>
      <c r="G67" s="95" t="s">
        <v>24</v>
      </c>
      <c r="H67" s="95" t="s">
        <v>24</v>
      </c>
      <c r="I67" s="95" t="s">
        <v>23</v>
      </c>
      <c r="J67" s="95" t="s">
        <v>24</v>
      </c>
      <c r="K67" s="95" t="s">
        <v>24</v>
      </c>
      <c r="L67" s="100" t="s">
        <v>25</v>
      </c>
      <c r="M67" s="97" t="s">
        <v>26</v>
      </c>
      <c r="N67" s="97" t="s">
        <v>26</v>
      </c>
      <c r="O67" s="95" t="s">
        <v>24</v>
      </c>
      <c r="P67" s="97" t="s">
        <v>26</v>
      </c>
      <c r="Q67" s="97" t="s">
        <v>26</v>
      </c>
      <c r="R67" s="97" t="s">
        <v>26</v>
      </c>
      <c r="S67" s="97" t="s">
        <v>26</v>
      </c>
      <c r="T67" s="97" t="s">
        <v>26</v>
      </c>
      <c r="U67" s="95" t="s">
        <v>24</v>
      </c>
      <c r="V67" s="95" t="s">
        <v>24</v>
      </c>
      <c r="W67" s="97" t="s">
        <v>26</v>
      </c>
      <c r="X67" s="97" t="s">
        <v>26</v>
      </c>
      <c r="Y67" s="97" t="s">
        <v>26</v>
      </c>
      <c r="Z67" s="97" t="s">
        <v>26</v>
      </c>
      <c r="AA67" s="97" t="s">
        <v>26</v>
      </c>
      <c r="AB67" s="95" t="s">
        <v>24</v>
      </c>
      <c r="AC67" s="95" t="s">
        <v>24</v>
      </c>
      <c r="AD67" s="97" t="s">
        <v>26</v>
      </c>
      <c r="AE67" s="97" t="s">
        <v>26</v>
      </c>
      <c r="AF67" s="97" t="s">
        <v>26</v>
      </c>
      <c r="AG67" s="97" t="s">
        <v>26</v>
      </c>
      <c r="AH67" s="97" t="s">
        <v>26</v>
      </c>
      <c r="AI67" s="98">
        <f t="shared" si="1"/>
        <v>31</v>
      </c>
      <c r="AJ67" s="98">
        <f t="shared" si="8"/>
        <v>17</v>
      </c>
      <c r="AK67" s="98">
        <v>9</v>
      </c>
      <c r="AL67" s="98">
        <v>4</v>
      </c>
      <c r="AM67" s="98">
        <v>1</v>
      </c>
      <c r="AN67" s="98"/>
      <c r="AO67" s="98"/>
      <c r="AP67" s="98"/>
      <c r="AQ67" s="98"/>
      <c r="AR67" s="98"/>
      <c r="AS67" s="98">
        <f t="shared" si="3"/>
        <v>1</v>
      </c>
      <c r="AT67" s="99"/>
    </row>
    <row r="68" customFormat="1" ht="34" customHeight="1" spans="1:46">
      <c r="A68" s="92">
        <f t="shared" si="10"/>
        <v>65</v>
      </c>
      <c r="B68" s="93" t="s">
        <v>129</v>
      </c>
      <c r="C68" s="94" t="s">
        <v>116</v>
      </c>
      <c r="D68" s="95" t="s">
        <v>23</v>
      </c>
      <c r="E68" s="95" t="s">
        <v>23</v>
      </c>
      <c r="F68" s="95" t="s">
        <v>23</v>
      </c>
      <c r="G68" s="95" t="s">
        <v>24</v>
      </c>
      <c r="H68" s="95" t="s">
        <v>24</v>
      </c>
      <c r="I68" s="95" t="s">
        <v>23</v>
      </c>
      <c r="J68" s="95" t="s">
        <v>24</v>
      </c>
      <c r="K68" s="95" t="s">
        <v>24</v>
      </c>
      <c r="L68" s="97" t="s">
        <v>26</v>
      </c>
      <c r="M68" s="97" t="s">
        <v>26</v>
      </c>
      <c r="N68" s="97" t="s">
        <v>26</v>
      </c>
      <c r="O68" s="95" t="s">
        <v>24</v>
      </c>
      <c r="P68" s="97" t="s">
        <v>26</v>
      </c>
      <c r="Q68" s="97" t="s">
        <v>26</v>
      </c>
      <c r="R68" s="97" t="s">
        <v>26</v>
      </c>
      <c r="S68" s="97" t="s">
        <v>26</v>
      </c>
      <c r="T68" s="97" t="s">
        <v>26</v>
      </c>
      <c r="U68" s="95" t="s">
        <v>24</v>
      </c>
      <c r="V68" s="95" t="s">
        <v>24</v>
      </c>
      <c r="W68" s="97" t="s">
        <v>26</v>
      </c>
      <c r="X68" s="97" t="s">
        <v>26</v>
      </c>
      <c r="Y68" s="97" t="s">
        <v>26</v>
      </c>
      <c r="Z68" s="97" t="s">
        <v>26</v>
      </c>
      <c r="AA68" s="97" t="s">
        <v>26</v>
      </c>
      <c r="AB68" s="95" t="s">
        <v>24</v>
      </c>
      <c r="AC68" s="95" t="s">
        <v>24</v>
      </c>
      <c r="AD68" s="97" t="s">
        <v>26</v>
      </c>
      <c r="AE68" s="97" t="s">
        <v>26</v>
      </c>
      <c r="AF68" s="97" t="s">
        <v>26</v>
      </c>
      <c r="AG68" s="97" t="s">
        <v>26</v>
      </c>
      <c r="AH68" s="97" t="s">
        <v>26</v>
      </c>
      <c r="AI68" s="98">
        <f t="shared" ref="AI68:AI131" si="11">AM68+AL68+AK68+AJ68</f>
        <v>31</v>
      </c>
      <c r="AJ68" s="98">
        <f t="shared" si="8"/>
        <v>18</v>
      </c>
      <c r="AK68" s="98">
        <v>9</v>
      </c>
      <c r="AL68" s="98">
        <v>4</v>
      </c>
      <c r="AM68" s="98">
        <v>0</v>
      </c>
      <c r="AN68" s="98"/>
      <c r="AO68" s="98"/>
      <c r="AP68" s="98"/>
      <c r="AQ68" s="98"/>
      <c r="AR68" s="98"/>
      <c r="AS68" s="98">
        <f t="shared" ref="AS68:AS131" si="12">AM68-AN68-AO68-AP68-AQ68+AR68</f>
        <v>0</v>
      </c>
      <c r="AT68" s="99"/>
    </row>
    <row r="69" customFormat="1" ht="34" customHeight="1" spans="1:46">
      <c r="A69" s="92">
        <f t="shared" si="10"/>
        <v>66</v>
      </c>
      <c r="B69" s="93" t="s">
        <v>130</v>
      </c>
      <c r="C69" s="94" t="s">
        <v>116</v>
      </c>
      <c r="D69" s="95" t="s">
        <v>23</v>
      </c>
      <c r="E69" s="95" t="s">
        <v>23</v>
      </c>
      <c r="F69" s="95" t="s">
        <v>23</v>
      </c>
      <c r="G69" s="95" t="s">
        <v>24</v>
      </c>
      <c r="H69" s="95" t="s">
        <v>24</v>
      </c>
      <c r="I69" s="95" t="s">
        <v>23</v>
      </c>
      <c r="J69" s="95" t="s">
        <v>24</v>
      </c>
      <c r="K69" s="95" t="s">
        <v>24</v>
      </c>
      <c r="L69" s="97" t="s">
        <v>26</v>
      </c>
      <c r="M69" s="97" t="s">
        <v>26</v>
      </c>
      <c r="N69" s="97" t="s">
        <v>26</v>
      </c>
      <c r="O69" s="95" t="s">
        <v>24</v>
      </c>
      <c r="P69" s="97" t="s">
        <v>26</v>
      </c>
      <c r="Q69" s="97" t="s">
        <v>26</v>
      </c>
      <c r="R69" s="97" t="s">
        <v>26</v>
      </c>
      <c r="S69" s="97" t="s">
        <v>26</v>
      </c>
      <c r="T69" s="97" t="s">
        <v>26</v>
      </c>
      <c r="U69" s="95" t="s">
        <v>24</v>
      </c>
      <c r="V69" s="95" t="s">
        <v>24</v>
      </c>
      <c r="W69" s="97" t="s">
        <v>26</v>
      </c>
      <c r="X69" s="97" t="s">
        <v>26</v>
      </c>
      <c r="Y69" s="97" t="s">
        <v>26</v>
      </c>
      <c r="Z69" s="97" t="s">
        <v>26</v>
      </c>
      <c r="AA69" s="97" t="s">
        <v>26</v>
      </c>
      <c r="AB69" s="95" t="s">
        <v>24</v>
      </c>
      <c r="AC69" s="95" t="s">
        <v>24</v>
      </c>
      <c r="AD69" s="97" t="s">
        <v>26</v>
      </c>
      <c r="AE69" s="97" t="s">
        <v>26</v>
      </c>
      <c r="AF69" s="97" t="s">
        <v>26</v>
      </c>
      <c r="AG69" s="97" t="s">
        <v>26</v>
      </c>
      <c r="AH69" s="97" t="s">
        <v>26</v>
      </c>
      <c r="AI69" s="98">
        <f t="shared" si="11"/>
        <v>31</v>
      </c>
      <c r="AJ69" s="98">
        <f t="shared" si="8"/>
        <v>18</v>
      </c>
      <c r="AK69" s="98">
        <v>9</v>
      </c>
      <c r="AL69" s="98">
        <v>4</v>
      </c>
      <c r="AM69" s="98">
        <v>0</v>
      </c>
      <c r="AN69" s="98"/>
      <c r="AO69" s="98"/>
      <c r="AP69" s="98"/>
      <c r="AQ69" s="98"/>
      <c r="AR69" s="98"/>
      <c r="AS69" s="98">
        <f t="shared" si="12"/>
        <v>0</v>
      </c>
      <c r="AT69" s="89"/>
    </row>
    <row r="70" customFormat="1" ht="34" customHeight="1" spans="1:46">
      <c r="A70" s="92">
        <f t="shared" si="10"/>
        <v>67</v>
      </c>
      <c r="B70" s="93" t="s">
        <v>131</v>
      </c>
      <c r="C70" s="94" t="s">
        <v>116</v>
      </c>
      <c r="D70" s="95" t="s">
        <v>23</v>
      </c>
      <c r="E70" s="95" t="s">
        <v>23</v>
      </c>
      <c r="F70" s="95" t="s">
        <v>23</v>
      </c>
      <c r="G70" s="95" t="s">
        <v>24</v>
      </c>
      <c r="H70" s="95" t="s">
        <v>24</v>
      </c>
      <c r="I70" s="95" t="s">
        <v>23</v>
      </c>
      <c r="J70" s="95" t="s">
        <v>24</v>
      </c>
      <c r="K70" s="95" t="s">
        <v>24</v>
      </c>
      <c r="L70" s="97" t="s">
        <v>26</v>
      </c>
      <c r="M70" s="97" t="s">
        <v>26</v>
      </c>
      <c r="N70" s="97" t="s">
        <v>26</v>
      </c>
      <c r="O70" s="95" t="s">
        <v>24</v>
      </c>
      <c r="P70" s="97" t="s">
        <v>26</v>
      </c>
      <c r="Q70" s="97" t="s">
        <v>26</v>
      </c>
      <c r="R70" s="97" t="s">
        <v>26</v>
      </c>
      <c r="S70" s="97" t="s">
        <v>26</v>
      </c>
      <c r="T70" s="97" t="s">
        <v>26</v>
      </c>
      <c r="U70" s="95" t="s">
        <v>24</v>
      </c>
      <c r="V70" s="95" t="s">
        <v>24</v>
      </c>
      <c r="W70" s="97" t="s">
        <v>26</v>
      </c>
      <c r="X70" s="97" t="s">
        <v>26</v>
      </c>
      <c r="Y70" s="97" t="s">
        <v>26</v>
      </c>
      <c r="Z70" s="97" t="s">
        <v>26</v>
      </c>
      <c r="AA70" s="97" t="s">
        <v>26</v>
      </c>
      <c r="AB70" s="95" t="s">
        <v>24</v>
      </c>
      <c r="AC70" s="95" t="s">
        <v>24</v>
      </c>
      <c r="AD70" s="97" t="s">
        <v>26</v>
      </c>
      <c r="AE70" s="97" t="s">
        <v>26</v>
      </c>
      <c r="AF70" s="97" t="s">
        <v>26</v>
      </c>
      <c r="AG70" s="97" t="s">
        <v>26</v>
      </c>
      <c r="AH70" s="97" t="s">
        <v>26</v>
      </c>
      <c r="AI70" s="98">
        <f t="shared" si="11"/>
        <v>31</v>
      </c>
      <c r="AJ70" s="98">
        <f t="shared" si="8"/>
        <v>18</v>
      </c>
      <c r="AK70" s="98">
        <v>9</v>
      </c>
      <c r="AL70" s="98">
        <v>4</v>
      </c>
      <c r="AM70" s="98">
        <v>0</v>
      </c>
      <c r="AN70" s="98"/>
      <c r="AO70" s="98"/>
      <c r="AP70" s="98"/>
      <c r="AQ70" s="98"/>
      <c r="AR70" s="98"/>
      <c r="AS70" s="98">
        <f t="shared" si="12"/>
        <v>0</v>
      </c>
      <c r="AT70" s="99"/>
    </row>
    <row r="71" customFormat="1" ht="34" customHeight="1" spans="1:46">
      <c r="A71" s="92">
        <f t="shared" si="10"/>
        <v>68</v>
      </c>
      <c r="B71" s="93" t="s">
        <v>132</v>
      </c>
      <c r="C71" s="94" t="s">
        <v>116</v>
      </c>
      <c r="D71" s="95" t="s">
        <v>23</v>
      </c>
      <c r="E71" s="95" t="s">
        <v>23</v>
      </c>
      <c r="F71" s="95" t="s">
        <v>23</v>
      </c>
      <c r="G71" s="95" t="s">
        <v>24</v>
      </c>
      <c r="H71" s="95" t="s">
        <v>24</v>
      </c>
      <c r="I71" s="95" t="s">
        <v>23</v>
      </c>
      <c r="J71" s="95" t="s">
        <v>24</v>
      </c>
      <c r="K71" s="95" t="s">
        <v>24</v>
      </c>
      <c r="L71" s="97" t="s">
        <v>26</v>
      </c>
      <c r="M71" s="97" t="s">
        <v>26</v>
      </c>
      <c r="N71" s="97" t="s">
        <v>26</v>
      </c>
      <c r="O71" s="95" t="s">
        <v>24</v>
      </c>
      <c r="P71" s="97" t="s">
        <v>26</v>
      </c>
      <c r="Q71" s="97" t="s">
        <v>26</v>
      </c>
      <c r="R71" s="97" t="s">
        <v>26</v>
      </c>
      <c r="S71" s="97" t="s">
        <v>26</v>
      </c>
      <c r="T71" s="97" t="s">
        <v>26</v>
      </c>
      <c r="U71" s="95" t="s">
        <v>24</v>
      </c>
      <c r="V71" s="95" t="s">
        <v>24</v>
      </c>
      <c r="W71" s="97" t="s">
        <v>26</v>
      </c>
      <c r="X71" s="97" t="s">
        <v>26</v>
      </c>
      <c r="Y71" s="97" t="s">
        <v>26</v>
      </c>
      <c r="Z71" s="97" t="s">
        <v>26</v>
      </c>
      <c r="AA71" s="97" t="s">
        <v>26</v>
      </c>
      <c r="AB71" s="95" t="s">
        <v>24</v>
      </c>
      <c r="AC71" s="95" t="s">
        <v>24</v>
      </c>
      <c r="AD71" s="97" t="s">
        <v>26</v>
      </c>
      <c r="AE71" s="97" t="s">
        <v>26</v>
      </c>
      <c r="AF71" s="97" t="s">
        <v>26</v>
      </c>
      <c r="AG71" s="97" t="s">
        <v>26</v>
      </c>
      <c r="AH71" s="97" t="s">
        <v>26</v>
      </c>
      <c r="AI71" s="98">
        <f t="shared" si="11"/>
        <v>31</v>
      </c>
      <c r="AJ71" s="98">
        <f t="shared" si="8"/>
        <v>18</v>
      </c>
      <c r="AK71" s="98">
        <v>9</v>
      </c>
      <c r="AL71" s="98">
        <v>4</v>
      </c>
      <c r="AM71" s="98">
        <v>0</v>
      </c>
      <c r="AN71" s="98"/>
      <c r="AO71" s="98"/>
      <c r="AP71" s="98"/>
      <c r="AQ71" s="98"/>
      <c r="AR71" s="98"/>
      <c r="AS71" s="98">
        <f t="shared" si="12"/>
        <v>0</v>
      </c>
      <c r="AT71" s="105"/>
    </row>
    <row r="72" customFormat="1" ht="34" customHeight="1" spans="1:46">
      <c r="A72" s="92">
        <f t="shared" si="10"/>
        <v>69</v>
      </c>
      <c r="B72" s="93" t="s">
        <v>133</v>
      </c>
      <c r="C72" s="94" t="s">
        <v>116</v>
      </c>
      <c r="D72" s="95" t="s">
        <v>23</v>
      </c>
      <c r="E72" s="95" t="s">
        <v>23</v>
      </c>
      <c r="F72" s="95" t="s">
        <v>23</v>
      </c>
      <c r="G72" s="95" t="s">
        <v>24</v>
      </c>
      <c r="H72" s="95" t="s">
        <v>24</v>
      </c>
      <c r="I72" s="95" t="s">
        <v>23</v>
      </c>
      <c r="J72" s="95" t="s">
        <v>24</v>
      </c>
      <c r="K72" s="95" t="s">
        <v>24</v>
      </c>
      <c r="L72" s="96" t="s">
        <v>134</v>
      </c>
      <c r="M72" s="97" t="s">
        <v>26</v>
      </c>
      <c r="N72" s="97" t="s">
        <v>26</v>
      </c>
      <c r="O72" s="95" t="s">
        <v>24</v>
      </c>
      <c r="P72" s="97" t="s">
        <v>26</v>
      </c>
      <c r="Q72" s="97" t="s">
        <v>26</v>
      </c>
      <c r="R72" s="97" t="s">
        <v>26</v>
      </c>
      <c r="S72" s="97" t="s">
        <v>26</v>
      </c>
      <c r="T72" s="97" t="s">
        <v>26</v>
      </c>
      <c r="U72" s="95" t="s">
        <v>24</v>
      </c>
      <c r="V72" s="95" t="s">
        <v>24</v>
      </c>
      <c r="W72" s="97" t="s">
        <v>26</v>
      </c>
      <c r="X72" s="97" t="s">
        <v>26</v>
      </c>
      <c r="Y72" s="97" t="s">
        <v>26</v>
      </c>
      <c r="Z72" s="97" t="s">
        <v>26</v>
      </c>
      <c r="AA72" s="97" t="s">
        <v>26</v>
      </c>
      <c r="AB72" s="95" t="s">
        <v>24</v>
      </c>
      <c r="AC72" s="95" t="s">
        <v>24</v>
      </c>
      <c r="AD72" s="97" t="s">
        <v>26</v>
      </c>
      <c r="AE72" s="97" t="s">
        <v>26</v>
      </c>
      <c r="AF72" s="97" t="s">
        <v>26</v>
      </c>
      <c r="AG72" s="97" t="s">
        <v>26</v>
      </c>
      <c r="AH72" s="97" t="s">
        <v>26</v>
      </c>
      <c r="AI72" s="98">
        <f t="shared" si="11"/>
        <v>31</v>
      </c>
      <c r="AJ72" s="98">
        <f t="shared" si="8"/>
        <v>17.75</v>
      </c>
      <c r="AK72" s="98">
        <v>9</v>
      </c>
      <c r="AL72" s="98">
        <v>4</v>
      </c>
      <c r="AM72" s="98">
        <v>0.25</v>
      </c>
      <c r="AN72" s="98"/>
      <c r="AO72" s="98">
        <v>0.25</v>
      </c>
      <c r="AP72" s="98"/>
      <c r="AQ72" s="98"/>
      <c r="AR72" s="98"/>
      <c r="AS72" s="98">
        <f t="shared" si="12"/>
        <v>0</v>
      </c>
      <c r="AT72" s="99" t="s">
        <v>135</v>
      </c>
    </row>
    <row r="73" ht="34" customHeight="1" spans="1:46">
      <c r="A73" s="92">
        <f t="shared" si="10"/>
        <v>70</v>
      </c>
      <c r="B73" s="93" t="s">
        <v>136</v>
      </c>
      <c r="C73" s="94" t="s">
        <v>116</v>
      </c>
      <c r="D73" s="95" t="s">
        <v>23</v>
      </c>
      <c r="E73" s="95" t="s">
        <v>23</v>
      </c>
      <c r="F73" s="95" t="s">
        <v>23</v>
      </c>
      <c r="G73" s="95" t="s">
        <v>24</v>
      </c>
      <c r="H73" s="95" t="s">
        <v>24</v>
      </c>
      <c r="I73" s="95" t="s">
        <v>23</v>
      </c>
      <c r="J73" s="95" t="s">
        <v>24</v>
      </c>
      <c r="K73" s="95" t="s">
        <v>24</v>
      </c>
      <c r="L73" s="97" t="s">
        <v>26</v>
      </c>
      <c r="M73" s="97" t="s">
        <v>26</v>
      </c>
      <c r="N73" s="100" t="s">
        <v>137</v>
      </c>
      <c r="O73" s="95" t="s">
        <v>24</v>
      </c>
      <c r="P73" s="97" t="s">
        <v>26</v>
      </c>
      <c r="Q73" s="97" t="s">
        <v>26</v>
      </c>
      <c r="R73" s="97" t="s">
        <v>26</v>
      </c>
      <c r="S73" s="97" t="s">
        <v>26</v>
      </c>
      <c r="T73" s="97" t="s">
        <v>26</v>
      </c>
      <c r="U73" s="95" t="s">
        <v>24</v>
      </c>
      <c r="V73" s="95" t="s">
        <v>24</v>
      </c>
      <c r="W73" s="97" t="s">
        <v>26</v>
      </c>
      <c r="X73" s="97" t="s">
        <v>26</v>
      </c>
      <c r="Y73" s="97" t="s">
        <v>26</v>
      </c>
      <c r="Z73" s="97" t="s">
        <v>26</v>
      </c>
      <c r="AA73" s="97" t="s">
        <v>26</v>
      </c>
      <c r="AB73" s="95" t="s">
        <v>24</v>
      </c>
      <c r="AC73" s="95" t="s">
        <v>24</v>
      </c>
      <c r="AD73" s="100" t="s">
        <v>138</v>
      </c>
      <c r="AE73" s="97" t="s">
        <v>26</v>
      </c>
      <c r="AF73" s="97" t="s">
        <v>26</v>
      </c>
      <c r="AG73" s="97" t="s">
        <v>26</v>
      </c>
      <c r="AH73" s="97" t="s">
        <v>26</v>
      </c>
      <c r="AI73" s="98">
        <f t="shared" si="11"/>
        <v>31</v>
      </c>
      <c r="AJ73" s="98">
        <f t="shared" si="8"/>
        <v>17.56</v>
      </c>
      <c r="AK73" s="98">
        <v>9</v>
      </c>
      <c r="AL73" s="98">
        <v>4</v>
      </c>
      <c r="AM73" s="98">
        <v>0.44</v>
      </c>
      <c r="AN73" s="98"/>
      <c r="AO73" s="98"/>
      <c r="AP73" s="98"/>
      <c r="AQ73" s="98"/>
      <c r="AR73" s="98"/>
      <c r="AS73" s="98">
        <f t="shared" si="12"/>
        <v>0.44</v>
      </c>
      <c r="AT73" s="99"/>
    </row>
    <row r="74" customFormat="1" ht="34" customHeight="1" spans="1:46">
      <c r="A74" s="92">
        <f t="shared" si="10"/>
        <v>71</v>
      </c>
      <c r="B74" s="93" t="s">
        <v>139</v>
      </c>
      <c r="C74" s="94" t="s">
        <v>140</v>
      </c>
      <c r="D74" s="95" t="s">
        <v>23</v>
      </c>
      <c r="E74" s="95" t="s">
        <v>23</v>
      </c>
      <c r="F74" s="95" t="s">
        <v>23</v>
      </c>
      <c r="G74" s="95" t="s">
        <v>24</v>
      </c>
      <c r="H74" s="95" t="s">
        <v>24</v>
      </c>
      <c r="I74" s="95" t="s">
        <v>23</v>
      </c>
      <c r="J74" s="95" t="s">
        <v>24</v>
      </c>
      <c r="K74" s="95" t="s">
        <v>24</v>
      </c>
      <c r="L74" s="100" t="s">
        <v>25</v>
      </c>
      <c r="M74" s="100" t="s">
        <v>25</v>
      </c>
      <c r="N74" s="97" t="s">
        <v>26</v>
      </c>
      <c r="O74" s="95" t="s">
        <v>24</v>
      </c>
      <c r="P74" s="97" t="s">
        <v>26</v>
      </c>
      <c r="Q74" s="97" t="s">
        <v>26</v>
      </c>
      <c r="R74" s="97" t="s">
        <v>26</v>
      </c>
      <c r="S74" s="97" t="s">
        <v>26</v>
      </c>
      <c r="T74" s="97" t="s">
        <v>26</v>
      </c>
      <c r="U74" s="95" t="s">
        <v>24</v>
      </c>
      <c r="V74" s="95" t="s">
        <v>24</v>
      </c>
      <c r="W74" s="97" t="s">
        <v>26</v>
      </c>
      <c r="X74" s="97" t="s">
        <v>26</v>
      </c>
      <c r="Y74" s="97" t="s">
        <v>26</v>
      </c>
      <c r="Z74" s="97" t="s">
        <v>26</v>
      </c>
      <c r="AA74" s="100" t="s">
        <v>25</v>
      </c>
      <c r="AB74" s="95" t="s">
        <v>24</v>
      </c>
      <c r="AC74" s="95" t="s">
        <v>24</v>
      </c>
      <c r="AD74" s="97" t="s">
        <v>26</v>
      </c>
      <c r="AE74" s="97" t="s">
        <v>26</v>
      </c>
      <c r="AF74" s="97" t="s">
        <v>26</v>
      </c>
      <c r="AG74" s="97" t="s">
        <v>26</v>
      </c>
      <c r="AH74" s="97" t="s">
        <v>26</v>
      </c>
      <c r="AI74" s="98">
        <f t="shared" si="11"/>
        <v>31</v>
      </c>
      <c r="AJ74" s="98">
        <f t="shared" si="8"/>
        <v>15</v>
      </c>
      <c r="AK74" s="98">
        <v>9</v>
      </c>
      <c r="AL74" s="98">
        <v>4</v>
      </c>
      <c r="AM74" s="98">
        <v>3</v>
      </c>
      <c r="AN74" s="98"/>
      <c r="AO74" s="98"/>
      <c r="AP74" s="98"/>
      <c r="AQ74" s="98"/>
      <c r="AR74" s="98"/>
      <c r="AS74" s="98">
        <f t="shared" si="12"/>
        <v>3</v>
      </c>
      <c r="AT74" s="99"/>
    </row>
    <row r="75" customFormat="1" ht="34" customHeight="1" spans="1:46">
      <c r="A75" s="92">
        <f t="shared" si="10"/>
        <v>72</v>
      </c>
      <c r="B75" s="93" t="s">
        <v>141</v>
      </c>
      <c r="C75" s="94" t="s">
        <v>116</v>
      </c>
      <c r="D75" s="95" t="s">
        <v>23</v>
      </c>
      <c r="E75" s="95" t="s">
        <v>23</v>
      </c>
      <c r="F75" s="95" t="s">
        <v>23</v>
      </c>
      <c r="G75" s="95" t="s">
        <v>24</v>
      </c>
      <c r="H75" s="95" t="s">
        <v>24</v>
      </c>
      <c r="I75" s="95" t="s">
        <v>23</v>
      </c>
      <c r="J75" s="95" t="s">
        <v>24</v>
      </c>
      <c r="K75" s="95" t="s">
        <v>24</v>
      </c>
      <c r="L75" s="97" t="s">
        <v>26</v>
      </c>
      <c r="M75" s="97" t="s">
        <v>26</v>
      </c>
      <c r="N75" s="97" t="s">
        <v>26</v>
      </c>
      <c r="O75" s="95" t="s">
        <v>24</v>
      </c>
      <c r="P75" s="97" t="s">
        <v>26</v>
      </c>
      <c r="Q75" s="97" t="s">
        <v>26</v>
      </c>
      <c r="R75" s="97" t="s">
        <v>26</v>
      </c>
      <c r="S75" s="97" t="s">
        <v>26</v>
      </c>
      <c r="T75" s="97" t="s">
        <v>26</v>
      </c>
      <c r="U75" s="95" t="s">
        <v>24</v>
      </c>
      <c r="V75" s="95" t="s">
        <v>24</v>
      </c>
      <c r="W75" s="97" t="s">
        <v>26</v>
      </c>
      <c r="X75" s="97" t="s">
        <v>26</v>
      </c>
      <c r="Y75" s="97" t="s">
        <v>26</v>
      </c>
      <c r="Z75" s="97" t="s">
        <v>26</v>
      </c>
      <c r="AA75" s="97" t="s">
        <v>26</v>
      </c>
      <c r="AB75" s="95" t="s">
        <v>24</v>
      </c>
      <c r="AC75" s="95" t="s">
        <v>24</v>
      </c>
      <c r="AD75" s="97" t="s">
        <v>26</v>
      </c>
      <c r="AE75" s="97" t="s">
        <v>26</v>
      </c>
      <c r="AF75" s="97" t="s">
        <v>26</v>
      </c>
      <c r="AG75" s="97" t="s">
        <v>26</v>
      </c>
      <c r="AH75" s="97" t="s">
        <v>26</v>
      </c>
      <c r="AI75" s="98">
        <f t="shared" si="11"/>
        <v>31</v>
      </c>
      <c r="AJ75" s="98">
        <f t="shared" si="8"/>
        <v>18</v>
      </c>
      <c r="AK75" s="98">
        <v>9</v>
      </c>
      <c r="AL75" s="98">
        <v>4</v>
      </c>
      <c r="AM75" s="98">
        <v>0</v>
      </c>
      <c r="AN75" s="98"/>
      <c r="AO75" s="98"/>
      <c r="AP75" s="98"/>
      <c r="AQ75" s="98"/>
      <c r="AR75" s="98"/>
      <c r="AS75" s="98">
        <f t="shared" si="12"/>
        <v>0</v>
      </c>
      <c r="AT75" s="99"/>
    </row>
    <row r="76" customFormat="1" ht="34" customHeight="1" spans="1:46">
      <c r="A76" s="92">
        <f t="shared" si="10"/>
        <v>73</v>
      </c>
      <c r="B76" s="93" t="s">
        <v>142</v>
      </c>
      <c r="C76" s="94" t="s">
        <v>116</v>
      </c>
      <c r="D76" s="95" t="s">
        <v>23</v>
      </c>
      <c r="E76" s="95" t="s">
        <v>23</v>
      </c>
      <c r="F76" s="95" t="s">
        <v>23</v>
      </c>
      <c r="G76" s="95" t="s">
        <v>24</v>
      </c>
      <c r="H76" s="95" t="s">
        <v>24</v>
      </c>
      <c r="I76" s="95" t="s">
        <v>23</v>
      </c>
      <c r="J76" s="95" t="s">
        <v>24</v>
      </c>
      <c r="K76" s="95" t="s">
        <v>24</v>
      </c>
      <c r="L76" s="100" t="s">
        <v>25</v>
      </c>
      <c r="M76" s="100" t="s">
        <v>25</v>
      </c>
      <c r="N76" s="97" t="s">
        <v>26</v>
      </c>
      <c r="O76" s="95" t="s">
        <v>24</v>
      </c>
      <c r="P76" s="97" t="s">
        <v>26</v>
      </c>
      <c r="Q76" s="97" t="s">
        <v>26</v>
      </c>
      <c r="R76" s="97" t="s">
        <v>26</v>
      </c>
      <c r="S76" s="97" t="s">
        <v>26</v>
      </c>
      <c r="T76" s="97" t="s">
        <v>26</v>
      </c>
      <c r="U76" s="95" t="s">
        <v>24</v>
      </c>
      <c r="V76" s="95" t="s">
        <v>24</v>
      </c>
      <c r="W76" s="97" t="s">
        <v>26</v>
      </c>
      <c r="X76" s="97" t="s">
        <v>26</v>
      </c>
      <c r="Y76" s="97" t="s">
        <v>26</v>
      </c>
      <c r="Z76" s="97" t="s">
        <v>26</v>
      </c>
      <c r="AA76" s="97" t="s">
        <v>26</v>
      </c>
      <c r="AB76" s="95" t="s">
        <v>24</v>
      </c>
      <c r="AC76" s="95" t="s">
        <v>24</v>
      </c>
      <c r="AD76" s="97" t="s">
        <v>26</v>
      </c>
      <c r="AE76" s="97" t="s">
        <v>26</v>
      </c>
      <c r="AF76" s="97" t="s">
        <v>26</v>
      </c>
      <c r="AG76" s="97" t="s">
        <v>26</v>
      </c>
      <c r="AH76" s="97" t="s">
        <v>26</v>
      </c>
      <c r="AI76" s="98">
        <f t="shared" si="11"/>
        <v>31</v>
      </c>
      <c r="AJ76" s="98">
        <f t="shared" si="8"/>
        <v>16</v>
      </c>
      <c r="AK76" s="98">
        <v>9</v>
      </c>
      <c r="AL76" s="98">
        <v>4</v>
      </c>
      <c r="AM76" s="98">
        <v>2</v>
      </c>
      <c r="AN76" s="98"/>
      <c r="AO76" s="98"/>
      <c r="AP76" s="98"/>
      <c r="AQ76" s="98"/>
      <c r="AR76" s="98"/>
      <c r="AS76" s="98">
        <f t="shared" si="12"/>
        <v>2</v>
      </c>
      <c r="AT76" s="99"/>
    </row>
    <row r="77" customFormat="1" ht="34" customHeight="1" spans="1:46">
      <c r="A77" s="92">
        <f t="shared" si="10"/>
        <v>74</v>
      </c>
      <c r="B77" s="93" t="s">
        <v>143</v>
      </c>
      <c r="C77" s="94" t="s">
        <v>116</v>
      </c>
      <c r="D77" s="95" t="s">
        <v>23</v>
      </c>
      <c r="E77" s="95" t="s">
        <v>23</v>
      </c>
      <c r="F77" s="95" t="s">
        <v>23</v>
      </c>
      <c r="G77" s="95" t="s">
        <v>24</v>
      </c>
      <c r="H77" s="95" t="s">
        <v>24</v>
      </c>
      <c r="I77" s="95" t="s">
        <v>23</v>
      </c>
      <c r="J77" s="95" t="s">
        <v>24</v>
      </c>
      <c r="K77" s="95" t="s">
        <v>24</v>
      </c>
      <c r="L77" s="97" t="s">
        <v>26</v>
      </c>
      <c r="M77" s="97" t="s">
        <v>26</v>
      </c>
      <c r="N77" s="97" t="s">
        <v>26</v>
      </c>
      <c r="O77" s="95" t="s">
        <v>24</v>
      </c>
      <c r="P77" s="97" t="s">
        <v>26</v>
      </c>
      <c r="Q77" s="97" t="s">
        <v>26</v>
      </c>
      <c r="R77" s="97" t="s">
        <v>26</v>
      </c>
      <c r="S77" s="97" t="s">
        <v>26</v>
      </c>
      <c r="T77" s="97" t="s">
        <v>26</v>
      </c>
      <c r="U77" s="95" t="s">
        <v>24</v>
      </c>
      <c r="V77" s="95" t="s">
        <v>24</v>
      </c>
      <c r="W77" s="97" t="s">
        <v>26</v>
      </c>
      <c r="X77" s="97" t="s">
        <v>26</v>
      </c>
      <c r="Y77" s="97" t="s">
        <v>26</v>
      </c>
      <c r="Z77" s="97" t="s">
        <v>26</v>
      </c>
      <c r="AA77" s="97" t="s">
        <v>26</v>
      </c>
      <c r="AB77" s="95" t="s">
        <v>24</v>
      </c>
      <c r="AC77" s="95" t="s">
        <v>24</v>
      </c>
      <c r="AD77" s="97" t="s">
        <v>26</v>
      </c>
      <c r="AE77" s="97" t="s">
        <v>26</v>
      </c>
      <c r="AF77" s="97" t="s">
        <v>26</v>
      </c>
      <c r="AG77" s="97" t="s">
        <v>26</v>
      </c>
      <c r="AH77" s="97" t="s">
        <v>26</v>
      </c>
      <c r="AI77" s="98">
        <f t="shared" si="11"/>
        <v>31</v>
      </c>
      <c r="AJ77" s="98">
        <f t="shared" si="8"/>
        <v>18</v>
      </c>
      <c r="AK77" s="98">
        <v>9</v>
      </c>
      <c r="AL77" s="98">
        <v>4</v>
      </c>
      <c r="AM77" s="98">
        <v>0</v>
      </c>
      <c r="AN77" s="98"/>
      <c r="AO77" s="98"/>
      <c r="AP77" s="98"/>
      <c r="AQ77" s="98"/>
      <c r="AR77" s="98"/>
      <c r="AS77" s="98">
        <f t="shared" si="12"/>
        <v>0</v>
      </c>
      <c r="AT77" s="99"/>
    </row>
    <row r="78" customFormat="1" ht="34" customHeight="1" spans="1:46">
      <c r="A78" s="92">
        <f t="shared" si="10"/>
        <v>75</v>
      </c>
      <c r="B78" s="93" t="s">
        <v>144</v>
      </c>
      <c r="C78" s="94" t="s">
        <v>116</v>
      </c>
      <c r="D78" s="95" t="s">
        <v>23</v>
      </c>
      <c r="E78" s="95" t="s">
        <v>23</v>
      </c>
      <c r="F78" s="95" t="s">
        <v>23</v>
      </c>
      <c r="G78" s="95" t="s">
        <v>24</v>
      </c>
      <c r="H78" s="95" t="s">
        <v>24</v>
      </c>
      <c r="I78" s="95" t="s">
        <v>23</v>
      </c>
      <c r="J78" s="95" t="s">
        <v>24</v>
      </c>
      <c r="K78" s="95" t="s">
        <v>24</v>
      </c>
      <c r="L78" s="97" t="s">
        <v>26</v>
      </c>
      <c r="M78" s="97" t="s">
        <v>26</v>
      </c>
      <c r="N78" s="97" t="s">
        <v>26</v>
      </c>
      <c r="O78" s="95" t="s">
        <v>24</v>
      </c>
      <c r="P78" s="97" t="s">
        <v>26</v>
      </c>
      <c r="Q78" s="97" t="s">
        <v>26</v>
      </c>
      <c r="R78" s="97" t="s">
        <v>26</v>
      </c>
      <c r="S78" s="97" t="s">
        <v>26</v>
      </c>
      <c r="T78" s="97" t="s">
        <v>26</v>
      </c>
      <c r="U78" s="95" t="s">
        <v>24</v>
      </c>
      <c r="V78" s="95" t="s">
        <v>24</v>
      </c>
      <c r="W78" s="97" t="s">
        <v>26</v>
      </c>
      <c r="X78" s="97" t="s">
        <v>26</v>
      </c>
      <c r="Y78" s="97" t="s">
        <v>26</v>
      </c>
      <c r="Z78" s="97" t="s">
        <v>26</v>
      </c>
      <c r="AA78" s="97" t="s">
        <v>26</v>
      </c>
      <c r="AB78" s="95" t="s">
        <v>24</v>
      </c>
      <c r="AC78" s="95" t="s">
        <v>24</v>
      </c>
      <c r="AD78" s="97" t="s">
        <v>26</v>
      </c>
      <c r="AE78" s="97" t="s">
        <v>26</v>
      </c>
      <c r="AF78" s="97" t="s">
        <v>26</v>
      </c>
      <c r="AG78" s="97" t="s">
        <v>26</v>
      </c>
      <c r="AH78" s="97" t="s">
        <v>26</v>
      </c>
      <c r="AI78" s="98">
        <f t="shared" si="11"/>
        <v>31</v>
      </c>
      <c r="AJ78" s="98">
        <f t="shared" si="8"/>
        <v>18</v>
      </c>
      <c r="AK78" s="98">
        <v>9</v>
      </c>
      <c r="AL78" s="98">
        <v>4</v>
      </c>
      <c r="AM78" s="98">
        <v>0</v>
      </c>
      <c r="AN78" s="98"/>
      <c r="AO78" s="98"/>
      <c r="AP78" s="98"/>
      <c r="AQ78" s="98"/>
      <c r="AR78" s="98"/>
      <c r="AS78" s="98">
        <f t="shared" si="12"/>
        <v>0</v>
      </c>
      <c r="AT78" s="99"/>
    </row>
    <row r="79" customFormat="1" ht="34" customHeight="1" spans="1:46">
      <c r="A79" s="92">
        <f t="shared" si="10"/>
        <v>76</v>
      </c>
      <c r="B79" s="93" t="s">
        <v>145</v>
      </c>
      <c r="C79" s="94" t="s">
        <v>140</v>
      </c>
      <c r="D79" s="95" t="s">
        <v>23</v>
      </c>
      <c r="E79" s="95" t="s">
        <v>23</v>
      </c>
      <c r="F79" s="95" t="s">
        <v>23</v>
      </c>
      <c r="G79" s="95" t="s">
        <v>24</v>
      </c>
      <c r="H79" s="95" t="s">
        <v>24</v>
      </c>
      <c r="I79" s="95" t="s">
        <v>23</v>
      </c>
      <c r="J79" s="95" t="s">
        <v>24</v>
      </c>
      <c r="K79" s="95" t="s">
        <v>24</v>
      </c>
      <c r="L79" s="100" t="s">
        <v>25</v>
      </c>
      <c r="M79" s="100" t="s">
        <v>146</v>
      </c>
      <c r="N79" s="100" t="s">
        <v>25</v>
      </c>
      <c r="O79" s="95" t="s">
        <v>24</v>
      </c>
      <c r="P79" s="100" t="s">
        <v>25</v>
      </c>
      <c r="Q79" s="100" t="s">
        <v>25</v>
      </c>
      <c r="R79" s="100" t="s">
        <v>25</v>
      </c>
      <c r="S79" s="97" t="s">
        <v>26</v>
      </c>
      <c r="T79" s="97" t="s">
        <v>26</v>
      </c>
      <c r="U79" s="95" t="s">
        <v>24</v>
      </c>
      <c r="V79" s="95" t="s">
        <v>24</v>
      </c>
      <c r="W79" s="97" t="s">
        <v>26</v>
      </c>
      <c r="X79" s="97" t="s">
        <v>26</v>
      </c>
      <c r="Y79" s="97" t="s">
        <v>26</v>
      </c>
      <c r="Z79" s="97" t="s">
        <v>26</v>
      </c>
      <c r="AA79" s="97" t="s">
        <v>26</v>
      </c>
      <c r="AB79" s="95" t="s">
        <v>24</v>
      </c>
      <c r="AC79" s="95" t="s">
        <v>24</v>
      </c>
      <c r="AD79" s="97" t="s">
        <v>26</v>
      </c>
      <c r="AE79" s="97" t="s">
        <v>26</v>
      </c>
      <c r="AF79" s="97" t="s">
        <v>26</v>
      </c>
      <c r="AG79" s="97" t="s">
        <v>26</v>
      </c>
      <c r="AH79" s="97" t="s">
        <v>26</v>
      </c>
      <c r="AI79" s="98">
        <f t="shared" si="11"/>
        <v>31</v>
      </c>
      <c r="AJ79" s="98">
        <f t="shared" si="8"/>
        <v>12.84</v>
      </c>
      <c r="AK79" s="98">
        <v>9</v>
      </c>
      <c r="AL79" s="98">
        <v>4</v>
      </c>
      <c r="AM79" s="98">
        <v>5.16</v>
      </c>
      <c r="AN79" s="98"/>
      <c r="AO79" s="98"/>
      <c r="AP79" s="98"/>
      <c r="AQ79" s="98"/>
      <c r="AR79" s="98"/>
      <c r="AS79" s="98">
        <f t="shared" si="12"/>
        <v>5.16</v>
      </c>
      <c r="AT79" s="99" t="s">
        <v>147</v>
      </c>
    </row>
    <row r="80" customFormat="1" ht="34" customHeight="1" spans="1:46">
      <c r="A80" s="92">
        <f t="shared" si="10"/>
        <v>77</v>
      </c>
      <c r="B80" s="93" t="s">
        <v>148</v>
      </c>
      <c r="C80" s="94" t="s">
        <v>140</v>
      </c>
      <c r="D80" s="95" t="s">
        <v>23</v>
      </c>
      <c r="E80" s="95" t="s">
        <v>23</v>
      </c>
      <c r="F80" s="95" t="s">
        <v>23</v>
      </c>
      <c r="G80" s="95" t="s">
        <v>24</v>
      </c>
      <c r="H80" s="95" t="s">
        <v>24</v>
      </c>
      <c r="I80" s="95" t="s">
        <v>23</v>
      </c>
      <c r="J80" s="95" t="s">
        <v>24</v>
      </c>
      <c r="K80" s="95" t="s">
        <v>24</v>
      </c>
      <c r="L80" s="97" t="s">
        <v>26</v>
      </c>
      <c r="M80" s="97" t="s">
        <v>26</v>
      </c>
      <c r="N80" s="97" t="s">
        <v>26</v>
      </c>
      <c r="O80" s="95" t="s">
        <v>24</v>
      </c>
      <c r="P80" s="97" t="s">
        <v>26</v>
      </c>
      <c r="Q80" s="97" t="s">
        <v>26</v>
      </c>
      <c r="R80" s="97" t="s">
        <v>26</v>
      </c>
      <c r="S80" s="97" t="s">
        <v>26</v>
      </c>
      <c r="T80" s="97" t="s">
        <v>26</v>
      </c>
      <c r="U80" s="95" t="s">
        <v>24</v>
      </c>
      <c r="V80" s="95" t="s">
        <v>24</v>
      </c>
      <c r="W80" s="97" t="s">
        <v>26</v>
      </c>
      <c r="X80" s="97" t="s">
        <v>26</v>
      </c>
      <c r="Y80" s="97" t="s">
        <v>26</v>
      </c>
      <c r="Z80" s="97" t="s">
        <v>26</v>
      </c>
      <c r="AA80" s="97" t="s">
        <v>26</v>
      </c>
      <c r="AB80" s="95" t="s">
        <v>24</v>
      </c>
      <c r="AC80" s="95" t="s">
        <v>24</v>
      </c>
      <c r="AD80" s="97" t="s">
        <v>26</v>
      </c>
      <c r="AE80" s="97" t="s">
        <v>26</v>
      </c>
      <c r="AF80" s="97" t="s">
        <v>26</v>
      </c>
      <c r="AG80" s="97" t="s">
        <v>26</v>
      </c>
      <c r="AH80" s="97" t="s">
        <v>26</v>
      </c>
      <c r="AI80" s="98">
        <f t="shared" si="11"/>
        <v>31</v>
      </c>
      <c r="AJ80" s="98">
        <f t="shared" si="8"/>
        <v>18</v>
      </c>
      <c r="AK80" s="98">
        <v>9</v>
      </c>
      <c r="AL80" s="98">
        <v>4</v>
      </c>
      <c r="AM80" s="98">
        <v>0</v>
      </c>
      <c r="AN80" s="98"/>
      <c r="AO80" s="98"/>
      <c r="AP80" s="98"/>
      <c r="AQ80" s="98"/>
      <c r="AR80" s="98"/>
      <c r="AS80" s="98">
        <f t="shared" si="12"/>
        <v>0</v>
      </c>
      <c r="AT80" s="99"/>
    </row>
    <row r="81" customFormat="1" ht="34" customHeight="1" spans="1:46">
      <c r="A81" s="92">
        <f t="shared" si="10"/>
        <v>78</v>
      </c>
      <c r="B81" s="93" t="s">
        <v>149</v>
      </c>
      <c r="C81" s="94" t="s">
        <v>140</v>
      </c>
      <c r="D81" s="95" t="s">
        <v>23</v>
      </c>
      <c r="E81" s="95" t="s">
        <v>23</v>
      </c>
      <c r="F81" s="95" t="s">
        <v>23</v>
      </c>
      <c r="G81" s="95" t="s">
        <v>24</v>
      </c>
      <c r="H81" s="95" t="s">
        <v>24</v>
      </c>
      <c r="I81" s="95" t="s">
        <v>23</v>
      </c>
      <c r="J81" s="95" t="s">
        <v>24</v>
      </c>
      <c r="K81" s="95" t="s">
        <v>24</v>
      </c>
      <c r="L81" s="97" t="s">
        <v>26</v>
      </c>
      <c r="M81" s="97" t="s">
        <v>26</v>
      </c>
      <c r="N81" s="97" t="s">
        <v>26</v>
      </c>
      <c r="O81" s="95" t="s">
        <v>24</v>
      </c>
      <c r="P81" s="97" t="s">
        <v>26</v>
      </c>
      <c r="Q81" s="97" t="s">
        <v>26</v>
      </c>
      <c r="R81" s="97" t="s">
        <v>26</v>
      </c>
      <c r="S81" s="97" t="s">
        <v>26</v>
      </c>
      <c r="T81" s="97" t="s">
        <v>26</v>
      </c>
      <c r="U81" s="95" t="s">
        <v>24</v>
      </c>
      <c r="V81" s="95" t="s">
        <v>24</v>
      </c>
      <c r="W81" s="97" t="s">
        <v>26</v>
      </c>
      <c r="X81" s="97" t="s">
        <v>26</v>
      </c>
      <c r="Y81" s="97" t="s">
        <v>26</v>
      </c>
      <c r="Z81" s="97" t="s">
        <v>26</v>
      </c>
      <c r="AA81" s="97" t="s">
        <v>26</v>
      </c>
      <c r="AB81" s="95" t="s">
        <v>24</v>
      </c>
      <c r="AC81" s="95" t="s">
        <v>24</v>
      </c>
      <c r="AD81" s="97" t="s">
        <v>26</v>
      </c>
      <c r="AE81" s="97" t="s">
        <v>26</v>
      </c>
      <c r="AF81" s="97" t="s">
        <v>26</v>
      </c>
      <c r="AG81" s="97" t="s">
        <v>26</v>
      </c>
      <c r="AH81" s="97" t="s">
        <v>26</v>
      </c>
      <c r="AI81" s="98">
        <f t="shared" si="11"/>
        <v>31</v>
      </c>
      <c r="AJ81" s="98">
        <f t="shared" si="8"/>
        <v>18</v>
      </c>
      <c r="AK81" s="98">
        <v>9</v>
      </c>
      <c r="AL81" s="98">
        <v>4</v>
      </c>
      <c r="AM81" s="98">
        <v>0</v>
      </c>
      <c r="AN81" s="98"/>
      <c r="AO81" s="98"/>
      <c r="AP81" s="98"/>
      <c r="AQ81" s="98"/>
      <c r="AR81" s="98"/>
      <c r="AS81" s="98">
        <f t="shared" si="12"/>
        <v>0</v>
      </c>
      <c r="AT81" s="99"/>
    </row>
    <row r="82" customFormat="1" ht="34" customHeight="1" spans="1:46">
      <c r="A82" s="92">
        <f t="shared" si="10"/>
        <v>79</v>
      </c>
      <c r="B82" s="93" t="s">
        <v>150</v>
      </c>
      <c r="C82" s="94" t="s">
        <v>140</v>
      </c>
      <c r="D82" s="95" t="s">
        <v>23</v>
      </c>
      <c r="E82" s="95" t="s">
        <v>23</v>
      </c>
      <c r="F82" s="95" t="s">
        <v>23</v>
      </c>
      <c r="G82" s="95" t="s">
        <v>24</v>
      </c>
      <c r="H82" s="95" t="s">
        <v>24</v>
      </c>
      <c r="I82" s="95" t="s">
        <v>23</v>
      </c>
      <c r="J82" s="95" t="s">
        <v>24</v>
      </c>
      <c r="K82" s="95" t="s">
        <v>24</v>
      </c>
      <c r="L82" s="97" t="s">
        <v>26</v>
      </c>
      <c r="M82" s="97" t="s">
        <v>26</v>
      </c>
      <c r="N82" s="97" t="s">
        <v>26</v>
      </c>
      <c r="O82" s="95" t="s">
        <v>24</v>
      </c>
      <c r="P82" s="97" t="s">
        <v>26</v>
      </c>
      <c r="Q82" s="97" t="s">
        <v>26</v>
      </c>
      <c r="R82" s="97" t="s">
        <v>26</v>
      </c>
      <c r="S82" s="97" t="s">
        <v>26</v>
      </c>
      <c r="T82" s="97" t="s">
        <v>26</v>
      </c>
      <c r="U82" s="95" t="s">
        <v>24</v>
      </c>
      <c r="V82" s="95" t="s">
        <v>24</v>
      </c>
      <c r="W82" s="97" t="s">
        <v>26</v>
      </c>
      <c r="X82" s="97" t="s">
        <v>26</v>
      </c>
      <c r="Y82" s="97" t="s">
        <v>26</v>
      </c>
      <c r="Z82" s="97" t="s">
        <v>26</v>
      </c>
      <c r="AA82" s="97" t="s">
        <v>26</v>
      </c>
      <c r="AB82" s="95" t="s">
        <v>24</v>
      </c>
      <c r="AC82" s="95" t="s">
        <v>24</v>
      </c>
      <c r="AD82" s="97" t="s">
        <v>26</v>
      </c>
      <c r="AE82" s="97" t="s">
        <v>26</v>
      </c>
      <c r="AF82" s="97" t="s">
        <v>26</v>
      </c>
      <c r="AG82" s="97" t="s">
        <v>26</v>
      </c>
      <c r="AH82" s="97" t="s">
        <v>26</v>
      </c>
      <c r="AI82" s="98">
        <f t="shared" si="11"/>
        <v>31</v>
      </c>
      <c r="AJ82" s="98">
        <f t="shared" si="8"/>
        <v>18</v>
      </c>
      <c r="AK82" s="98">
        <v>9</v>
      </c>
      <c r="AL82" s="98">
        <v>4</v>
      </c>
      <c r="AM82" s="98">
        <v>0</v>
      </c>
      <c r="AN82" s="98"/>
      <c r="AO82" s="98"/>
      <c r="AP82" s="98"/>
      <c r="AQ82" s="98"/>
      <c r="AR82" s="98"/>
      <c r="AS82" s="98">
        <f t="shared" si="12"/>
        <v>0</v>
      </c>
      <c r="AT82" s="99"/>
    </row>
    <row r="83" customFormat="1" ht="34" customHeight="1" spans="1:46">
      <c r="A83" s="92">
        <f t="shared" si="10"/>
        <v>80</v>
      </c>
      <c r="B83" s="93" t="s">
        <v>151</v>
      </c>
      <c r="C83" s="94" t="s">
        <v>140</v>
      </c>
      <c r="D83" s="95" t="s">
        <v>23</v>
      </c>
      <c r="E83" s="95" t="s">
        <v>23</v>
      </c>
      <c r="F83" s="95" t="s">
        <v>23</v>
      </c>
      <c r="G83" s="95" t="s">
        <v>24</v>
      </c>
      <c r="H83" s="95" t="s">
        <v>24</v>
      </c>
      <c r="I83" s="95" t="s">
        <v>23</v>
      </c>
      <c r="J83" s="95" t="s">
        <v>24</v>
      </c>
      <c r="K83" s="95" t="s">
        <v>24</v>
      </c>
      <c r="L83" s="97" t="s">
        <v>26</v>
      </c>
      <c r="M83" s="97" t="s">
        <v>26</v>
      </c>
      <c r="N83" s="97" t="s">
        <v>26</v>
      </c>
      <c r="O83" s="95" t="s">
        <v>24</v>
      </c>
      <c r="P83" s="97" t="s">
        <v>26</v>
      </c>
      <c r="Q83" s="97" t="s">
        <v>26</v>
      </c>
      <c r="R83" s="97" t="s">
        <v>26</v>
      </c>
      <c r="S83" s="97" t="s">
        <v>26</v>
      </c>
      <c r="T83" s="97" t="s">
        <v>26</v>
      </c>
      <c r="U83" s="95" t="s">
        <v>24</v>
      </c>
      <c r="V83" s="95" t="s">
        <v>24</v>
      </c>
      <c r="W83" s="97" t="s">
        <v>26</v>
      </c>
      <c r="X83" s="97" t="s">
        <v>26</v>
      </c>
      <c r="Y83" s="97" t="s">
        <v>26</v>
      </c>
      <c r="Z83" s="97" t="s">
        <v>26</v>
      </c>
      <c r="AA83" s="97" t="s">
        <v>26</v>
      </c>
      <c r="AB83" s="95" t="s">
        <v>24</v>
      </c>
      <c r="AC83" s="95" t="s">
        <v>24</v>
      </c>
      <c r="AD83" s="97" t="s">
        <v>26</v>
      </c>
      <c r="AE83" s="97" t="s">
        <v>26</v>
      </c>
      <c r="AF83" s="97" t="s">
        <v>26</v>
      </c>
      <c r="AG83" s="97" t="s">
        <v>26</v>
      </c>
      <c r="AH83" s="97" t="s">
        <v>26</v>
      </c>
      <c r="AI83" s="98">
        <f t="shared" si="11"/>
        <v>31</v>
      </c>
      <c r="AJ83" s="98">
        <f t="shared" si="8"/>
        <v>18</v>
      </c>
      <c r="AK83" s="98">
        <v>9</v>
      </c>
      <c r="AL83" s="98">
        <v>4</v>
      </c>
      <c r="AM83" s="98">
        <v>0</v>
      </c>
      <c r="AN83" s="98"/>
      <c r="AO83" s="98"/>
      <c r="AP83" s="98"/>
      <c r="AQ83" s="98"/>
      <c r="AR83" s="98"/>
      <c r="AS83" s="98">
        <f t="shared" si="12"/>
        <v>0</v>
      </c>
      <c r="AT83" s="99"/>
    </row>
    <row r="84" customFormat="1" ht="34" customHeight="1" spans="1:46">
      <c r="A84" s="92">
        <f t="shared" si="10"/>
        <v>81</v>
      </c>
      <c r="B84" s="93" t="s">
        <v>152</v>
      </c>
      <c r="C84" s="94" t="s">
        <v>140</v>
      </c>
      <c r="D84" s="95" t="s">
        <v>23</v>
      </c>
      <c r="E84" s="95" t="s">
        <v>23</v>
      </c>
      <c r="F84" s="95" t="s">
        <v>23</v>
      </c>
      <c r="G84" s="95" t="s">
        <v>24</v>
      </c>
      <c r="H84" s="95" t="s">
        <v>24</v>
      </c>
      <c r="I84" s="95" t="s">
        <v>23</v>
      </c>
      <c r="J84" s="95" t="s">
        <v>24</v>
      </c>
      <c r="K84" s="95" t="s">
        <v>24</v>
      </c>
      <c r="L84" s="97" t="s">
        <v>26</v>
      </c>
      <c r="M84" s="97" t="s">
        <v>26</v>
      </c>
      <c r="N84" s="97" t="s">
        <v>26</v>
      </c>
      <c r="O84" s="95" t="s">
        <v>24</v>
      </c>
      <c r="P84" s="97" t="s">
        <v>26</v>
      </c>
      <c r="Q84" s="97" t="s">
        <v>26</v>
      </c>
      <c r="R84" s="97" t="s">
        <v>26</v>
      </c>
      <c r="S84" s="97" t="s">
        <v>26</v>
      </c>
      <c r="T84" s="97" t="s">
        <v>26</v>
      </c>
      <c r="U84" s="95" t="s">
        <v>24</v>
      </c>
      <c r="V84" s="95" t="s">
        <v>24</v>
      </c>
      <c r="W84" s="97" t="s">
        <v>26</v>
      </c>
      <c r="X84" s="97" t="s">
        <v>26</v>
      </c>
      <c r="Y84" s="97" t="s">
        <v>26</v>
      </c>
      <c r="Z84" s="97" t="s">
        <v>26</v>
      </c>
      <c r="AA84" s="97" t="s">
        <v>26</v>
      </c>
      <c r="AB84" s="95" t="s">
        <v>24</v>
      </c>
      <c r="AC84" s="95" t="s">
        <v>24</v>
      </c>
      <c r="AD84" s="97" t="s">
        <v>26</v>
      </c>
      <c r="AE84" s="97" t="s">
        <v>26</v>
      </c>
      <c r="AF84" s="97" t="s">
        <v>26</v>
      </c>
      <c r="AG84" s="97" t="s">
        <v>26</v>
      </c>
      <c r="AH84" s="97" t="s">
        <v>26</v>
      </c>
      <c r="AI84" s="98">
        <f t="shared" si="11"/>
        <v>31</v>
      </c>
      <c r="AJ84" s="98">
        <f t="shared" si="8"/>
        <v>18</v>
      </c>
      <c r="AK84" s="98">
        <v>9</v>
      </c>
      <c r="AL84" s="98">
        <v>4</v>
      </c>
      <c r="AM84" s="98">
        <v>0</v>
      </c>
      <c r="AN84" s="98"/>
      <c r="AO84" s="98"/>
      <c r="AP84" s="98"/>
      <c r="AQ84" s="98"/>
      <c r="AR84" s="98"/>
      <c r="AS84" s="98">
        <f t="shared" si="12"/>
        <v>0</v>
      </c>
      <c r="AT84" s="99"/>
    </row>
    <row r="85" customFormat="1" ht="34" customHeight="1" spans="1:46">
      <c r="A85" s="92">
        <f t="shared" si="10"/>
        <v>82</v>
      </c>
      <c r="B85" s="93" t="s">
        <v>153</v>
      </c>
      <c r="C85" s="94" t="s">
        <v>140</v>
      </c>
      <c r="D85" s="95" t="s">
        <v>23</v>
      </c>
      <c r="E85" s="95" t="s">
        <v>23</v>
      </c>
      <c r="F85" s="95" t="s">
        <v>23</v>
      </c>
      <c r="G85" s="95" t="s">
        <v>24</v>
      </c>
      <c r="H85" s="95" t="s">
        <v>24</v>
      </c>
      <c r="I85" s="95" t="s">
        <v>23</v>
      </c>
      <c r="J85" s="95" t="s">
        <v>24</v>
      </c>
      <c r="K85" s="95" t="s">
        <v>24</v>
      </c>
      <c r="L85" s="97" t="s">
        <v>26</v>
      </c>
      <c r="M85" s="97" t="s">
        <v>26</v>
      </c>
      <c r="N85" s="97" t="s">
        <v>26</v>
      </c>
      <c r="O85" s="95" t="s">
        <v>24</v>
      </c>
      <c r="P85" s="97" t="s">
        <v>26</v>
      </c>
      <c r="Q85" s="97" t="s">
        <v>26</v>
      </c>
      <c r="R85" s="97" t="s">
        <v>26</v>
      </c>
      <c r="S85" s="97" t="s">
        <v>26</v>
      </c>
      <c r="T85" s="97" t="s">
        <v>26</v>
      </c>
      <c r="U85" s="95" t="s">
        <v>24</v>
      </c>
      <c r="V85" s="95" t="s">
        <v>24</v>
      </c>
      <c r="W85" s="97" t="s">
        <v>26</v>
      </c>
      <c r="X85" s="97" t="s">
        <v>26</v>
      </c>
      <c r="Y85" s="97" t="s">
        <v>26</v>
      </c>
      <c r="Z85" s="97" t="s">
        <v>26</v>
      </c>
      <c r="AA85" s="97" t="s">
        <v>26</v>
      </c>
      <c r="AB85" s="95" t="s">
        <v>24</v>
      </c>
      <c r="AC85" s="95" t="s">
        <v>24</v>
      </c>
      <c r="AD85" s="97" t="s">
        <v>26</v>
      </c>
      <c r="AE85" s="97" t="s">
        <v>26</v>
      </c>
      <c r="AF85" s="97" t="s">
        <v>26</v>
      </c>
      <c r="AG85" s="97" t="s">
        <v>26</v>
      </c>
      <c r="AH85" s="97" t="s">
        <v>26</v>
      </c>
      <c r="AI85" s="98">
        <f t="shared" si="11"/>
        <v>31</v>
      </c>
      <c r="AJ85" s="98">
        <f t="shared" si="8"/>
        <v>18</v>
      </c>
      <c r="AK85" s="98">
        <v>9</v>
      </c>
      <c r="AL85" s="98">
        <v>4</v>
      </c>
      <c r="AM85" s="98">
        <v>0</v>
      </c>
      <c r="AN85" s="98"/>
      <c r="AO85" s="98"/>
      <c r="AP85" s="98"/>
      <c r="AQ85" s="98"/>
      <c r="AR85" s="98"/>
      <c r="AS85" s="98">
        <f t="shared" si="12"/>
        <v>0</v>
      </c>
      <c r="AT85" s="99"/>
    </row>
    <row r="86" customFormat="1" ht="34" customHeight="1" spans="1:46">
      <c r="A86" s="92">
        <f t="shared" si="10"/>
        <v>83</v>
      </c>
      <c r="B86" s="93" t="s">
        <v>154</v>
      </c>
      <c r="C86" s="94" t="s">
        <v>140</v>
      </c>
      <c r="D86" s="95" t="s">
        <v>23</v>
      </c>
      <c r="E86" s="95" t="s">
        <v>23</v>
      </c>
      <c r="F86" s="95" t="s">
        <v>23</v>
      </c>
      <c r="G86" s="95" t="s">
        <v>24</v>
      </c>
      <c r="H86" s="95" t="s">
        <v>24</v>
      </c>
      <c r="I86" s="95" t="s">
        <v>23</v>
      </c>
      <c r="J86" s="95" t="s">
        <v>24</v>
      </c>
      <c r="K86" s="95" t="s">
        <v>24</v>
      </c>
      <c r="L86" s="96" t="s">
        <v>88</v>
      </c>
      <c r="M86" s="96" t="s">
        <v>88</v>
      </c>
      <c r="N86" s="96" t="s">
        <v>88</v>
      </c>
      <c r="O86" s="95" t="s">
        <v>24</v>
      </c>
      <c r="P86" s="97" t="s">
        <v>26</v>
      </c>
      <c r="Q86" s="97" t="s">
        <v>26</v>
      </c>
      <c r="R86" s="97" t="s">
        <v>26</v>
      </c>
      <c r="S86" s="97" t="s">
        <v>26</v>
      </c>
      <c r="T86" s="97" t="s">
        <v>26</v>
      </c>
      <c r="U86" s="95" t="s">
        <v>24</v>
      </c>
      <c r="V86" s="95" t="s">
        <v>24</v>
      </c>
      <c r="W86" s="97" t="s">
        <v>26</v>
      </c>
      <c r="X86" s="97" t="s">
        <v>26</v>
      </c>
      <c r="Y86" s="96" t="s">
        <v>120</v>
      </c>
      <c r="Z86" s="97" t="s">
        <v>26</v>
      </c>
      <c r="AA86" s="97" t="s">
        <v>26</v>
      </c>
      <c r="AB86" s="95" t="s">
        <v>24</v>
      </c>
      <c r="AC86" s="95" t="s">
        <v>24</v>
      </c>
      <c r="AD86" s="97" t="s">
        <v>26</v>
      </c>
      <c r="AE86" s="97" t="s">
        <v>26</v>
      </c>
      <c r="AF86" s="97" t="s">
        <v>26</v>
      </c>
      <c r="AG86" s="97" t="s">
        <v>26</v>
      </c>
      <c r="AH86" s="97" t="s">
        <v>26</v>
      </c>
      <c r="AI86" s="98">
        <f t="shared" si="11"/>
        <v>31</v>
      </c>
      <c r="AJ86" s="98">
        <f t="shared" si="8"/>
        <v>14.62</v>
      </c>
      <c r="AK86" s="98">
        <v>9</v>
      </c>
      <c r="AL86" s="98">
        <v>4</v>
      </c>
      <c r="AM86" s="98">
        <v>3.38</v>
      </c>
      <c r="AN86" s="98"/>
      <c r="AO86" s="98">
        <v>3.38</v>
      </c>
      <c r="AP86" s="98"/>
      <c r="AQ86" s="98"/>
      <c r="AR86" s="98"/>
      <c r="AS86" s="98">
        <f t="shared" si="12"/>
        <v>0</v>
      </c>
      <c r="AT86" s="99" t="s">
        <v>155</v>
      </c>
    </row>
    <row r="87" customFormat="1" ht="34" customHeight="1" spans="1:46">
      <c r="A87" s="92">
        <f t="shared" si="10"/>
        <v>84</v>
      </c>
      <c r="B87" s="93" t="s">
        <v>156</v>
      </c>
      <c r="C87" s="94" t="s">
        <v>140</v>
      </c>
      <c r="D87" s="95" t="s">
        <v>23</v>
      </c>
      <c r="E87" s="95" t="s">
        <v>23</v>
      </c>
      <c r="F87" s="95" t="s">
        <v>23</v>
      </c>
      <c r="G87" s="95" t="s">
        <v>24</v>
      </c>
      <c r="H87" s="95" t="s">
        <v>24</v>
      </c>
      <c r="I87" s="95" t="s">
        <v>23</v>
      </c>
      <c r="J87" s="95" t="s">
        <v>24</v>
      </c>
      <c r="K87" s="95" t="s">
        <v>24</v>
      </c>
      <c r="L87" s="97" t="s">
        <v>26</v>
      </c>
      <c r="M87" s="97" t="s">
        <v>26</v>
      </c>
      <c r="N87" s="97" t="s">
        <v>26</v>
      </c>
      <c r="O87" s="95" t="s">
        <v>24</v>
      </c>
      <c r="P87" s="97" t="s">
        <v>26</v>
      </c>
      <c r="Q87" s="97" t="s">
        <v>26</v>
      </c>
      <c r="R87" s="97" t="s">
        <v>26</v>
      </c>
      <c r="S87" s="97" t="s">
        <v>26</v>
      </c>
      <c r="T87" s="97" t="s">
        <v>26</v>
      </c>
      <c r="U87" s="95" t="s">
        <v>24</v>
      </c>
      <c r="V87" s="95" t="s">
        <v>24</v>
      </c>
      <c r="W87" s="97" t="s">
        <v>26</v>
      </c>
      <c r="X87" s="97" t="s">
        <v>26</v>
      </c>
      <c r="Y87" s="97" t="s">
        <v>26</v>
      </c>
      <c r="Z87" s="97" t="s">
        <v>26</v>
      </c>
      <c r="AA87" s="97" t="s">
        <v>26</v>
      </c>
      <c r="AB87" s="95" t="s">
        <v>24</v>
      </c>
      <c r="AC87" s="95" t="s">
        <v>24</v>
      </c>
      <c r="AD87" s="97" t="s">
        <v>26</v>
      </c>
      <c r="AE87" s="97" t="s">
        <v>26</v>
      </c>
      <c r="AF87" s="97" t="s">
        <v>26</v>
      </c>
      <c r="AG87" s="97" t="s">
        <v>26</v>
      </c>
      <c r="AH87" s="97" t="s">
        <v>26</v>
      </c>
      <c r="AI87" s="98">
        <f t="shared" si="11"/>
        <v>31</v>
      </c>
      <c r="AJ87" s="98">
        <f t="shared" si="8"/>
        <v>18</v>
      </c>
      <c r="AK87" s="98">
        <v>9</v>
      </c>
      <c r="AL87" s="98">
        <v>4</v>
      </c>
      <c r="AM87" s="98">
        <v>0</v>
      </c>
      <c r="AN87" s="98"/>
      <c r="AO87" s="98"/>
      <c r="AP87" s="98"/>
      <c r="AQ87" s="98"/>
      <c r="AR87" s="98"/>
      <c r="AS87" s="98">
        <f t="shared" si="12"/>
        <v>0</v>
      </c>
      <c r="AT87" s="130"/>
    </row>
    <row r="88" customFormat="1" ht="34" customHeight="1" spans="1:46">
      <c r="A88" s="92">
        <f t="shared" si="10"/>
        <v>85</v>
      </c>
      <c r="B88" s="93" t="s">
        <v>157</v>
      </c>
      <c r="C88" s="94" t="s">
        <v>140</v>
      </c>
      <c r="D88" s="95" t="s">
        <v>23</v>
      </c>
      <c r="E88" s="95" t="s">
        <v>23</v>
      </c>
      <c r="F88" s="95" t="s">
        <v>23</v>
      </c>
      <c r="G88" s="95" t="s">
        <v>24</v>
      </c>
      <c r="H88" s="95" t="s">
        <v>24</v>
      </c>
      <c r="I88" s="95" t="s">
        <v>23</v>
      </c>
      <c r="J88" s="95" t="s">
        <v>24</v>
      </c>
      <c r="K88" s="95" t="s">
        <v>24</v>
      </c>
      <c r="L88" s="97" t="s">
        <v>26</v>
      </c>
      <c r="M88" s="97" t="s">
        <v>26</v>
      </c>
      <c r="N88" s="97" t="s">
        <v>26</v>
      </c>
      <c r="O88" s="95" t="s">
        <v>24</v>
      </c>
      <c r="P88" s="97" t="s">
        <v>26</v>
      </c>
      <c r="Q88" s="97" t="s">
        <v>26</v>
      </c>
      <c r="R88" s="97" t="s">
        <v>26</v>
      </c>
      <c r="S88" s="97" t="s">
        <v>26</v>
      </c>
      <c r="T88" s="97" t="s">
        <v>26</v>
      </c>
      <c r="U88" s="95" t="s">
        <v>24</v>
      </c>
      <c r="V88" s="95" t="s">
        <v>24</v>
      </c>
      <c r="W88" s="97" t="s">
        <v>26</v>
      </c>
      <c r="X88" s="97" t="s">
        <v>26</v>
      </c>
      <c r="Y88" s="97" t="s">
        <v>26</v>
      </c>
      <c r="Z88" s="97" t="s">
        <v>26</v>
      </c>
      <c r="AA88" s="97" t="s">
        <v>26</v>
      </c>
      <c r="AB88" s="95" t="s">
        <v>24</v>
      </c>
      <c r="AC88" s="95" t="s">
        <v>24</v>
      </c>
      <c r="AD88" s="97" t="s">
        <v>26</v>
      </c>
      <c r="AE88" s="97" t="s">
        <v>26</v>
      </c>
      <c r="AF88" s="97" t="s">
        <v>26</v>
      </c>
      <c r="AG88" s="97" t="s">
        <v>26</v>
      </c>
      <c r="AH88" s="97" t="s">
        <v>26</v>
      </c>
      <c r="AI88" s="98">
        <f t="shared" si="11"/>
        <v>31</v>
      </c>
      <c r="AJ88" s="98">
        <f t="shared" si="8"/>
        <v>18</v>
      </c>
      <c r="AK88" s="98">
        <v>9</v>
      </c>
      <c r="AL88" s="98">
        <v>4</v>
      </c>
      <c r="AM88" s="98">
        <v>0</v>
      </c>
      <c r="AN88" s="98"/>
      <c r="AO88" s="98"/>
      <c r="AP88" s="98"/>
      <c r="AQ88" s="98"/>
      <c r="AR88" s="98"/>
      <c r="AS88" s="98">
        <f t="shared" si="12"/>
        <v>0</v>
      </c>
      <c r="AT88" s="99"/>
    </row>
    <row r="89" customFormat="1" ht="34" customHeight="1" spans="1:46">
      <c r="A89" s="92">
        <f t="shared" si="10"/>
        <v>86</v>
      </c>
      <c r="B89" s="93" t="s">
        <v>158</v>
      </c>
      <c r="C89" s="94" t="s">
        <v>140</v>
      </c>
      <c r="D89" s="95" t="s">
        <v>23</v>
      </c>
      <c r="E89" s="95" t="s">
        <v>23</v>
      </c>
      <c r="F89" s="95" t="s">
        <v>23</v>
      </c>
      <c r="G89" s="95" t="s">
        <v>24</v>
      </c>
      <c r="H89" s="95" t="s">
        <v>24</v>
      </c>
      <c r="I89" s="95" t="s">
        <v>23</v>
      </c>
      <c r="J89" s="95" t="s">
        <v>24</v>
      </c>
      <c r="K89" s="95" t="s">
        <v>24</v>
      </c>
      <c r="L89" s="97" t="s">
        <v>26</v>
      </c>
      <c r="M89" s="97" t="s">
        <v>26</v>
      </c>
      <c r="N89" s="97" t="s">
        <v>26</v>
      </c>
      <c r="O89" s="95" t="s">
        <v>24</v>
      </c>
      <c r="P89" s="97" t="s">
        <v>26</v>
      </c>
      <c r="Q89" s="97" t="s">
        <v>26</v>
      </c>
      <c r="R89" s="97" t="s">
        <v>26</v>
      </c>
      <c r="S89" s="97" t="s">
        <v>26</v>
      </c>
      <c r="T89" s="97" t="s">
        <v>26</v>
      </c>
      <c r="U89" s="95" t="s">
        <v>24</v>
      </c>
      <c r="V89" s="95" t="s">
        <v>24</v>
      </c>
      <c r="W89" s="97" t="s">
        <v>26</v>
      </c>
      <c r="X89" s="97" t="s">
        <v>26</v>
      </c>
      <c r="Y89" s="97" t="s">
        <v>26</v>
      </c>
      <c r="Z89" s="97" t="s">
        <v>26</v>
      </c>
      <c r="AA89" s="97" t="s">
        <v>26</v>
      </c>
      <c r="AB89" s="95" t="s">
        <v>24</v>
      </c>
      <c r="AC89" s="95" t="s">
        <v>24</v>
      </c>
      <c r="AD89" s="97" t="s">
        <v>26</v>
      </c>
      <c r="AE89" s="97" t="s">
        <v>26</v>
      </c>
      <c r="AF89" s="97" t="s">
        <v>26</v>
      </c>
      <c r="AG89" s="97" t="s">
        <v>26</v>
      </c>
      <c r="AH89" s="97" t="s">
        <v>26</v>
      </c>
      <c r="AI89" s="98">
        <f t="shared" si="11"/>
        <v>31</v>
      </c>
      <c r="AJ89" s="98">
        <f t="shared" si="8"/>
        <v>18</v>
      </c>
      <c r="AK89" s="98">
        <v>9</v>
      </c>
      <c r="AL89" s="98">
        <v>4</v>
      </c>
      <c r="AM89" s="98">
        <v>0</v>
      </c>
      <c r="AN89" s="98"/>
      <c r="AO89" s="98"/>
      <c r="AP89" s="98"/>
      <c r="AQ89" s="98"/>
      <c r="AR89" s="98"/>
      <c r="AS89" s="98">
        <f t="shared" si="12"/>
        <v>0</v>
      </c>
      <c r="AT89" s="99"/>
    </row>
    <row r="90" customFormat="1" ht="34" customHeight="1" spans="1:46">
      <c r="A90" s="92">
        <f t="shared" si="10"/>
        <v>87</v>
      </c>
      <c r="B90" s="93" t="s">
        <v>159</v>
      </c>
      <c r="C90" s="94" t="s">
        <v>160</v>
      </c>
      <c r="D90" s="95" t="s">
        <v>23</v>
      </c>
      <c r="E90" s="95" t="s">
        <v>23</v>
      </c>
      <c r="F90" s="95" t="s">
        <v>23</v>
      </c>
      <c r="G90" s="95" t="s">
        <v>24</v>
      </c>
      <c r="H90" s="95" t="s">
        <v>24</v>
      </c>
      <c r="I90" s="95" t="s">
        <v>23</v>
      </c>
      <c r="J90" s="95" t="s">
        <v>24</v>
      </c>
      <c r="K90" s="95" t="s">
        <v>24</v>
      </c>
      <c r="L90" s="100" t="s">
        <v>25</v>
      </c>
      <c r="M90" s="97" t="s">
        <v>26</v>
      </c>
      <c r="N90" s="97" t="s">
        <v>26</v>
      </c>
      <c r="O90" s="95" t="s">
        <v>24</v>
      </c>
      <c r="P90" s="97" t="s">
        <v>26</v>
      </c>
      <c r="Q90" s="97" t="s">
        <v>26</v>
      </c>
      <c r="R90" s="97" t="s">
        <v>26</v>
      </c>
      <c r="S90" s="97" t="s">
        <v>26</v>
      </c>
      <c r="T90" s="97" t="s">
        <v>26</v>
      </c>
      <c r="U90" s="95" t="s">
        <v>24</v>
      </c>
      <c r="V90" s="95" t="s">
        <v>24</v>
      </c>
      <c r="W90" s="97" t="s">
        <v>26</v>
      </c>
      <c r="X90" s="97" t="s">
        <v>26</v>
      </c>
      <c r="Y90" s="97" t="s">
        <v>26</v>
      </c>
      <c r="Z90" s="97" t="s">
        <v>26</v>
      </c>
      <c r="AA90" s="97" t="s">
        <v>26</v>
      </c>
      <c r="AB90" s="95" t="s">
        <v>24</v>
      </c>
      <c r="AC90" s="95" t="s">
        <v>24</v>
      </c>
      <c r="AD90" s="97" t="s">
        <v>26</v>
      </c>
      <c r="AE90" s="97" t="s">
        <v>26</v>
      </c>
      <c r="AF90" s="97" t="s">
        <v>26</v>
      </c>
      <c r="AG90" s="97" t="s">
        <v>26</v>
      </c>
      <c r="AH90" s="97" t="s">
        <v>26</v>
      </c>
      <c r="AI90" s="98">
        <f t="shared" si="11"/>
        <v>31</v>
      </c>
      <c r="AJ90" s="98">
        <f t="shared" si="8"/>
        <v>17</v>
      </c>
      <c r="AK90" s="98">
        <v>9</v>
      </c>
      <c r="AL90" s="98">
        <v>4</v>
      </c>
      <c r="AM90" s="98">
        <v>1</v>
      </c>
      <c r="AN90" s="98"/>
      <c r="AO90" s="98"/>
      <c r="AP90" s="98"/>
      <c r="AQ90" s="98"/>
      <c r="AR90" s="98"/>
      <c r="AS90" s="98">
        <f t="shared" si="12"/>
        <v>1</v>
      </c>
      <c r="AT90" s="99"/>
    </row>
    <row r="91" customFormat="1" ht="34" customHeight="1" spans="1:46">
      <c r="A91" s="92">
        <f t="shared" si="10"/>
        <v>88</v>
      </c>
      <c r="B91" s="93" t="s">
        <v>161</v>
      </c>
      <c r="C91" s="94" t="s">
        <v>160</v>
      </c>
      <c r="D91" s="95" t="s">
        <v>23</v>
      </c>
      <c r="E91" s="95" t="s">
        <v>23</v>
      </c>
      <c r="F91" s="95" t="s">
        <v>23</v>
      </c>
      <c r="G91" s="95" t="s">
        <v>24</v>
      </c>
      <c r="H91" s="95" t="s">
        <v>24</v>
      </c>
      <c r="I91" s="95" t="s">
        <v>23</v>
      </c>
      <c r="J91" s="95" t="s">
        <v>24</v>
      </c>
      <c r="K91" s="95" t="s">
        <v>24</v>
      </c>
      <c r="L91" s="97" t="s">
        <v>26</v>
      </c>
      <c r="M91" s="97" t="s">
        <v>26</v>
      </c>
      <c r="N91" s="97" t="s">
        <v>26</v>
      </c>
      <c r="O91" s="95" t="s">
        <v>24</v>
      </c>
      <c r="P91" s="97" t="s">
        <v>26</v>
      </c>
      <c r="Q91" s="97" t="s">
        <v>26</v>
      </c>
      <c r="R91" s="100" t="s">
        <v>25</v>
      </c>
      <c r="S91" s="97" t="s">
        <v>26</v>
      </c>
      <c r="T91" s="97" t="s">
        <v>26</v>
      </c>
      <c r="U91" s="95" t="s">
        <v>24</v>
      </c>
      <c r="V91" s="95" t="s">
        <v>24</v>
      </c>
      <c r="W91" s="97" t="s">
        <v>26</v>
      </c>
      <c r="X91" s="97" t="s">
        <v>26</v>
      </c>
      <c r="Y91" s="97" t="s">
        <v>26</v>
      </c>
      <c r="Z91" s="97" t="s">
        <v>26</v>
      </c>
      <c r="AA91" s="97" t="s">
        <v>26</v>
      </c>
      <c r="AB91" s="95" t="s">
        <v>24</v>
      </c>
      <c r="AC91" s="95" t="s">
        <v>24</v>
      </c>
      <c r="AD91" s="97" t="s">
        <v>26</v>
      </c>
      <c r="AE91" s="97" t="s">
        <v>26</v>
      </c>
      <c r="AF91" s="97" t="s">
        <v>26</v>
      </c>
      <c r="AG91" s="97" t="s">
        <v>26</v>
      </c>
      <c r="AH91" s="97" t="s">
        <v>26</v>
      </c>
      <c r="AI91" s="98">
        <f t="shared" si="11"/>
        <v>31</v>
      </c>
      <c r="AJ91" s="98">
        <f t="shared" si="8"/>
        <v>17</v>
      </c>
      <c r="AK91" s="98">
        <v>9</v>
      </c>
      <c r="AL91" s="98">
        <v>4</v>
      </c>
      <c r="AM91" s="98">
        <v>1</v>
      </c>
      <c r="AN91" s="98"/>
      <c r="AO91" s="98"/>
      <c r="AP91" s="98"/>
      <c r="AQ91" s="98"/>
      <c r="AR91" s="98"/>
      <c r="AS91" s="98">
        <f t="shared" si="12"/>
        <v>1</v>
      </c>
      <c r="AT91" s="99"/>
    </row>
    <row r="92" customFormat="1" ht="34" customHeight="1" spans="1:46">
      <c r="A92" s="92">
        <f t="shared" si="10"/>
        <v>89</v>
      </c>
      <c r="B92" s="93" t="s">
        <v>162</v>
      </c>
      <c r="C92" s="94" t="s">
        <v>163</v>
      </c>
      <c r="D92" s="95" t="s">
        <v>23</v>
      </c>
      <c r="E92" s="95" t="s">
        <v>23</v>
      </c>
      <c r="F92" s="95" t="s">
        <v>23</v>
      </c>
      <c r="G92" s="95" t="s">
        <v>24</v>
      </c>
      <c r="H92" s="95" t="s">
        <v>24</v>
      </c>
      <c r="I92" s="95" t="s">
        <v>23</v>
      </c>
      <c r="J92" s="95" t="s">
        <v>24</v>
      </c>
      <c r="K92" s="95" t="s">
        <v>24</v>
      </c>
      <c r="L92" s="97" t="s">
        <v>26</v>
      </c>
      <c r="M92" s="97" t="s">
        <v>26</v>
      </c>
      <c r="N92" s="97" t="s">
        <v>26</v>
      </c>
      <c r="O92" s="95" t="s">
        <v>24</v>
      </c>
      <c r="P92" s="97" t="s">
        <v>26</v>
      </c>
      <c r="Q92" s="97" t="s">
        <v>26</v>
      </c>
      <c r="R92" s="97" t="s">
        <v>26</v>
      </c>
      <c r="S92" s="97" t="s">
        <v>26</v>
      </c>
      <c r="T92" s="97" t="s">
        <v>26</v>
      </c>
      <c r="U92" s="95" t="s">
        <v>24</v>
      </c>
      <c r="V92" s="95" t="s">
        <v>24</v>
      </c>
      <c r="W92" s="97" t="s">
        <v>26</v>
      </c>
      <c r="X92" s="97" t="s">
        <v>26</v>
      </c>
      <c r="Y92" s="97" t="s">
        <v>26</v>
      </c>
      <c r="Z92" s="97" t="s">
        <v>26</v>
      </c>
      <c r="AA92" s="97" t="s">
        <v>26</v>
      </c>
      <c r="AB92" s="95" t="s">
        <v>24</v>
      </c>
      <c r="AC92" s="95" t="s">
        <v>24</v>
      </c>
      <c r="AD92" s="97" t="s">
        <v>26</v>
      </c>
      <c r="AE92" s="97" t="s">
        <v>26</v>
      </c>
      <c r="AF92" s="97" t="s">
        <v>26</v>
      </c>
      <c r="AG92" s="97" t="s">
        <v>26</v>
      </c>
      <c r="AH92" s="97" t="s">
        <v>26</v>
      </c>
      <c r="AI92" s="98">
        <f t="shared" si="11"/>
        <v>31</v>
      </c>
      <c r="AJ92" s="98">
        <f t="shared" si="8"/>
        <v>18</v>
      </c>
      <c r="AK92" s="98">
        <v>9</v>
      </c>
      <c r="AL92" s="98">
        <v>4</v>
      </c>
      <c r="AM92" s="98">
        <v>0</v>
      </c>
      <c r="AN92" s="98"/>
      <c r="AO92" s="98"/>
      <c r="AP92" s="98"/>
      <c r="AQ92" s="98"/>
      <c r="AR92" s="98"/>
      <c r="AS92" s="98">
        <f t="shared" si="12"/>
        <v>0</v>
      </c>
      <c r="AT92" s="99"/>
    </row>
    <row r="93" customFormat="1" ht="34" customHeight="1" spans="1:46">
      <c r="A93" s="92">
        <f t="shared" si="10"/>
        <v>90</v>
      </c>
      <c r="B93" s="93" t="s">
        <v>164</v>
      </c>
      <c r="C93" s="94" t="s">
        <v>165</v>
      </c>
      <c r="D93" s="95" t="s">
        <v>23</v>
      </c>
      <c r="E93" s="95" t="s">
        <v>23</v>
      </c>
      <c r="F93" s="95" t="s">
        <v>23</v>
      </c>
      <c r="G93" s="95" t="s">
        <v>24</v>
      </c>
      <c r="H93" s="95" t="s">
        <v>24</v>
      </c>
      <c r="I93" s="95" t="s">
        <v>23</v>
      </c>
      <c r="J93" s="95" t="s">
        <v>24</v>
      </c>
      <c r="K93" s="95" t="s">
        <v>24</v>
      </c>
      <c r="L93" s="97" t="s">
        <v>26</v>
      </c>
      <c r="M93" s="97" t="s">
        <v>26</v>
      </c>
      <c r="N93" s="97" t="s">
        <v>26</v>
      </c>
      <c r="O93" s="95" t="s">
        <v>24</v>
      </c>
      <c r="P93" s="97" t="s">
        <v>26</v>
      </c>
      <c r="Q93" s="97" t="s">
        <v>26</v>
      </c>
      <c r="R93" s="97" t="s">
        <v>26</v>
      </c>
      <c r="S93" s="97" t="s">
        <v>26</v>
      </c>
      <c r="T93" s="97" t="s">
        <v>26</v>
      </c>
      <c r="U93" s="95" t="s">
        <v>24</v>
      </c>
      <c r="V93" s="95" t="s">
        <v>24</v>
      </c>
      <c r="W93" s="97" t="s">
        <v>26</v>
      </c>
      <c r="X93" s="97" t="s">
        <v>26</v>
      </c>
      <c r="Y93" s="97" t="s">
        <v>26</v>
      </c>
      <c r="Z93" s="97" t="s">
        <v>26</v>
      </c>
      <c r="AA93" s="97" t="s">
        <v>26</v>
      </c>
      <c r="AB93" s="95" t="s">
        <v>24</v>
      </c>
      <c r="AC93" s="95" t="s">
        <v>24</v>
      </c>
      <c r="AD93" s="97" t="s">
        <v>26</v>
      </c>
      <c r="AE93" s="97" t="s">
        <v>26</v>
      </c>
      <c r="AF93" s="97" t="s">
        <v>26</v>
      </c>
      <c r="AG93" s="97" t="s">
        <v>26</v>
      </c>
      <c r="AH93" s="97" t="s">
        <v>26</v>
      </c>
      <c r="AI93" s="98">
        <f t="shared" si="11"/>
        <v>31</v>
      </c>
      <c r="AJ93" s="98">
        <f t="shared" si="8"/>
        <v>18</v>
      </c>
      <c r="AK93" s="98">
        <v>9</v>
      </c>
      <c r="AL93" s="98">
        <v>4</v>
      </c>
      <c r="AM93" s="98">
        <v>0</v>
      </c>
      <c r="AN93" s="98"/>
      <c r="AO93" s="98"/>
      <c r="AP93" s="98"/>
      <c r="AQ93" s="98"/>
      <c r="AR93" s="98"/>
      <c r="AS93" s="98">
        <f t="shared" si="12"/>
        <v>0</v>
      </c>
      <c r="AT93" s="99"/>
    </row>
    <row r="94" customFormat="1" ht="42" customHeight="1" spans="1:46">
      <c r="A94" s="92">
        <f t="shared" si="10"/>
        <v>91</v>
      </c>
      <c r="B94" s="93" t="s">
        <v>166</v>
      </c>
      <c r="C94" s="94" t="s">
        <v>165</v>
      </c>
      <c r="D94" s="95" t="s">
        <v>23</v>
      </c>
      <c r="E94" s="95" t="s">
        <v>23</v>
      </c>
      <c r="F94" s="95" t="s">
        <v>23</v>
      </c>
      <c r="G94" s="95" t="s">
        <v>24</v>
      </c>
      <c r="H94" s="95" t="s">
        <v>24</v>
      </c>
      <c r="I94" s="95" t="s">
        <v>23</v>
      </c>
      <c r="J94" s="95" t="s">
        <v>24</v>
      </c>
      <c r="K94" s="95" t="s">
        <v>24</v>
      </c>
      <c r="L94" s="97" t="s">
        <v>26</v>
      </c>
      <c r="M94" s="97" t="s">
        <v>26</v>
      </c>
      <c r="N94" s="97" t="s">
        <v>26</v>
      </c>
      <c r="O94" s="95" t="s">
        <v>24</v>
      </c>
      <c r="P94" s="97" t="s">
        <v>26</v>
      </c>
      <c r="Q94" s="97" t="s">
        <v>26</v>
      </c>
      <c r="R94" s="97" t="s">
        <v>26</v>
      </c>
      <c r="S94" s="97" t="s">
        <v>26</v>
      </c>
      <c r="T94" s="97" t="s">
        <v>26</v>
      </c>
      <c r="U94" s="95" t="s">
        <v>24</v>
      </c>
      <c r="V94" s="95" t="s">
        <v>24</v>
      </c>
      <c r="W94" s="97" t="s">
        <v>26</v>
      </c>
      <c r="X94" s="97" t="s">
        <v>26</v>
      </c>
      <c r="Y94" s="97" t="s">
        <v>26</v>
      </c>
      <c r="Z94" s="97" t="s">
        <v>26</v>
      </c>
      <c r="AA94" s="97" t="s">
        <v>26</v>
      </c>
      <c r="AB94" s="95" t="s">
        <v>24</v>
      </c>
      <c r="AC94" s="95" t="s">
        <v>24</v>
      </c>
      <c r="AD94" s="97" t="s">
        <v>26</v>
      </c>
      <c r="AE94" s="97" t="s">
        <v>26</v>
      </c>
      <c r="AF94" s="97" t="s">
        <v>26</v>
      </c>
      <c r="AG94" s="97" t="s">
        <v>26</v>
      </c>
      <c r="AH94" s="97" t="s">
        <v>26</v>
      </c>
      <c r="AI94" s="98">
        <f t="shared" si="11"/>
        <v>31</v>
      </c>
      <c r="AJ94" s="98">
        <f t="shared" si="8"/>
        <v>18</v>
      </c>
      <c r="AK94" s="98">
        <v>9</v>
      </c>
      <c r="AL94" s="98">
        <v>4</v>
      </c>
      <c r="AM94" s="98">
        <v>0</v>
      </c>
      <c r="AN94" s="98"/>
      <c r="AO94" s="98"/>
      <c r="AP94" s="98"/>
      <c r="AQ94" s="98"/>
      <c r="AR94" s="98"/>
      <c r="AS94" s="98">
        <f t="shared" si="12"/>
        <v>0</v>
      </c>
      <c r="AT94" s="99"/>
    </row>
    <row r="95" customFormat="1" ht="34" customHeight="1" spans="1:46">
      <c r="A95" s="92">
        <f t="shared" si="10"/>
        <v>92</v>
      </c>
      <c r="B95" s="93" t="s">
        <v>167</v>
      </c>
      <c r="C95" s="94" t="s">
        <v>165</v>
      </c>
      <c r="D95" s="95" t="s">
        <v>23</v>
      </c>
      <c r="E95" s="95" t="s">
        <v>23</v>
      </c>
      <c r="F95" s="95" t="s">
        <v>23</v>
      </c>
      <c r="G95" s="95" t="s">
        <v>24</v>
      </c>
      <c r="H95" s="95" t="s">
        <v>24</v>
      </c>
      <c r="I95" s="95" t="s">
        <v>23</v>
      </c>
      <c r="J95" s="95" t="s">
        <v>24</v>
      </c>
      <c r="K95" s="95" t="s">
        <v>24</v>
      </c>
      <c r="L95" s="97" t="s">
        <v>26</v>
      </c>
      <c r="M95" s="97" t="s">
        <v>26</v>
      </c>
      <c r="N95" s="97" t="s">
        <v>26</v>
      </c>
      <c r="O95" s="95" t="s">
        <v>24</v>
      </c>
      <c r="P95" s="97" t="s">
        <v>26</v>
      </c>
      <c r="Q95" s="97" t="s">
        <v>26</v>
      </c>
      <c r="R95" s="97" t="s">
        <v>26</v>
      </c>
      <c r="S95" s="97" t="s">
        <v>26</v>
      </c>
      <c r="T95" s="97" t="s">
        <v>26</v>
      </c>
      <c r="U95" s="95" t="s">
        <v>24</v>
      </c>
      <c r="V95" s="95" t="s">
        <v>24</v>
      </c>
      <c r="W95" s="97" t="s">
        <v>26</v>
      </c>
      <c r="X95" s="97" t="s">
        <v>26</v>
      </c>
      <c r="Y95" s="97" t="s">
        <v>26</v>
      </c>
      <c r="Z95" s="97" t="s">
        <v>26</v>
      </c>
      <c r="AA95" s="97" t="s">
        <v>26</v>
      </c>
      <c r="AB95" s="95" t="s">
        <v>24</v>
      </c>
      <c r="AC95" s="95" t="s">
        <v>24</v>
      </c>
      <c r="AD95" s="97" t="s">
        <v>26</v>
      </c>
      <c r="AE95" s="97" t="s">
        <v>26</v>
      </c>
      <c r="AF95" s="97" t="s">
        <v>26</v>
      </c>
      <c r="AG95" s="97" t="s">
        <v>26</v>
      </c>
      <c r="AH95" s="97" t="s">
        <v>26</v>
      </c>
      <c r="AI95" s="98">
        <f t="shared" si="11"/>
        <v>31</v>
      </c>
      <c r="AJ95" s="98">
        <f t="shared" si="8"/>
        <v>18</v>
      </c>
      <c r="AK95" s="98">
        <v>9</v>
      </c>
      <c r="AL95" s="98">
        <v>4</v>
      </c>
      <c r="AM95" s="98">
        <v>0</v>
      </c>
      <c r="AN95" s="98"/>
      <c r="AO95" s="98"/>
      <c r="AP95" s="98"/>
      <c r="AQ95" s="98"/>
      <c r="AR95" s="98"/>
      <c r="AS95" s="98">
        <f t="shared" si="12"/>
        <v>0</v>
      </c>
      <c r="AT95" s="99"/>
    </row>
    <row r="96" customFormat="1" ht="34" customHeight="1" spans="1:46">
      <c r="A96" s="92">
        <f t="shared" si="10"/>
        <v>93</v>
      </c>
      <c r="B96" s="93" t="s">
        <v>168</v>
      </c>
      <c r="C96" s="94" t="s">
        <v>165</v>
      </c>
      <c r="D96" s="95" t="s">
        <v>23</v>
      </c>
      <c r="E96" s="95" t="s">
        <v>23</v>
      </c>
      <c r="F96" s="95" t="s">
        <v>23</v>
      </c>
      <c r="G96" s="95" t="s">
        <v>24</v>
      </c>
      <c r="H96" s="95" t="s">
        <v>24</v>
      </c>
      <c r="I96" s="95" t="s">
        <v>23</v>
      </c>
      <c r="J96" s="95" t="s">
        <v>24</v>
      </c>
      <c r="K96" s="95" t="s">
        <v>24</v>
      </c>
      <c r="L96" s="97" t="s">
        <v>26</v>
      </c>
      <c r="M96" s="97" t="s">
        <v>26</v>
      </c>
      <c r="N96" s="97" t="s">
        <v>26</v>
      </c>
      <c r="O96" s="95" t="s">
        <v>24</v>
      </c>
      <c r="P96" s="97" t="s">
        <v>26</v>
      </c>
      <c r="Q96" s="97" t="s">
        <v>26</v>
      </c>
      <c r="R96" s="97" t="s">
        <v>26</v>
      </c>
      <c r="S96" s="97" t="s">
        <v>26</v>
      </c>
      <c r="T96" s="97" t="s">
        <v>26</v>
      </c>
      <c r="U96" s="95" t="s">
        <v>24</v>
      </c>
      <c r="V96" s="95" t="s">
        <v>24</v>
      </c>
      <c r="W96" s="97" t="s">
        <v>26</v>
      </c>
      <c r="X96" s="97" t="s">
        <v>26</v>
      </c>
      <c r="Y96" s="97" t="s">
        <v>26</v>
      </c>
      <c r="Z96" s="97" t="s">
        <v>26</v>
      </c>
      <c r="AA96" s="97" t="s">
        <v>26</v>
      </c>
      <c r="AB96" s="95" t="s">
        <v>24</v>
      </c>
      <c r="AC96" s="95" t="s">
        <v>24</v>
      </c>
      <c r="AD96" s="97" t="s">
        <v>26</v>
      </c>
      <c r="AE96" s="97" t="s">
        <v>26</v>
      </c>
      <c r="AF96" s="97" t="s">
        <v>26</v>
      </c>
      <c r="AG96" s="97" t="s">
        <v>26</v>
      </c>
      <c r="AH96" s="97" t="s">
        <v>26</v>
      </c>
      <c r="AI96" s="98">
        <f t="shared" si="11"/>
        <v>31</v>
      </c>
      <c r="AJ96" s="98">
        <f t="shared" si="8"/>
        <v>18</v>
      </c>
      <c r="AK96" s="98">
        <v>9</v>
      </c>
      <c r="AL96" s="98">
        <v>4</v>
      </c>
      <c r="AM96" s="98">
        <v>0</v>
      </c>
      <c r="AN96" s="98"/>
      <c r="AO96" s="98"/>
      <c r="AP96" s="98"/>
      <c r="AQ96" s="98"/>
      <c r="AR96" s="98"/>
      <c r="AS96" s="98">
        <f t="shared" si="12"/>
        <v>0</v>
      </c>
      <c r="AT96" s="99"/>
    </row>
    <row r="97" customFormat="1" ht="34" customHeight="1" spans="1:46">
      <c r="A97" s="92">
        <f t="shared" si="10"/>
        <v>94</v>
      </c>
      <c r="B97" s="93" t="s">
        <v>169</v>
      </c>
      <c r="C97" s="94" t="s">
        <v>165</v>
      </c>
      <c r="D97" s="95" t="s">
        <v>23</v>
      </c>
      <c r="E97" s="95" t="s">
        <v>23</v>
      </c>
      <c r="F97" s="95" t="s">
        <v>23</v>
      </c>
      <c r="G97" s="95" t="s">
        <v>24</v>
      </c>
      <c r="H97" s="95" t="s">
        <v>24</v>
      </c>
      <c r="I97" s="95" t="s">
        <v>23</v>
      </c>
      <c r="J97" s="95" t="s">
        <v>24</v>
      </c>
      <c r="K97" s="95" t="s">
        <v>24</v>
      </c>
      <c r="L97" s="97" t="s">
        <v>26</v>
      </c>
      <c r="M97" s="97" t="s">
        <v>26</v>
      </c>
      <c r="N97" s="97" t="s">
        <v>26</v>
      </c>
      <c r="O97" s="95" t="s">
        <v>24</v>
      </c>
      <c r="P97" s="97" t="s">
        <v>26</v>
      </c>
      <c r="Q97" s="97" t="s">
        <v>26</v>
      </c>
      <c r="R97" s="97" t="s">
        <v>26</v>
      </c>
      <c r="S97" s="97" t="s">
        <v>26</v>
      </c>
      <c r="T97" s="97" t="s">
        <v>26</v>
      </c>
      <c r="U97" s="95" t="s">
        <v>24</v>
      </c>
      <c r="V97" s="95" t="s">
        <v>24</v>
      </c>
      <c r="W97" s="97" t="s">
        <v>26</v>
      </c>
      <c r="X97" s="97" t="s">
        <v>26</v>
      </c>
      <c r="Y97" s="97" t="s">
        <v>26</v>
      </c>
      <c r="Z97" s="97" t="s">
        <v>26</v>
      </c>
      <c r="AA97" s="97" t="s">
        <v>26</v>
      </c>
      <c r="AB97" s="95" t="s">
        <v>24</v>
      </c>
      <c r="AC97" s="95" t="s">
        <v>24</v>
      </c>
      <c r="AD97" s="97" t="s">
        <v>26</v>
      </c>
      <c r="AE97" s="97" t="s">
        <v>26</v>
      </c>
      <c r="AF97" s="97" t="s">
        <v>26</v>
      </c>
      <c r="AG97" s="97" t="s">
        <v>26</v>
      </c>
      <c r="AH97" s="100" t="s">
        <v>51</v>
      </c>
      <c r="AI97" s="98">
        <f t="shared" si="11"/>
        <v>31</v>
      </c>
      <c r="AJ97" s="98">
        <f t="shared" si="8"/>
        <v>17.37</v>
      </c>
      <c r="AK97" s="98">
        <v>9</v>
      </c>
      <c r="AL97" s="98">
        <v>4</v>
      </c>
      <c r="AM97" s="98">
        <v>0.63</v>
      </c>
      <c r="AN97" s="98"/>
      <c r="AO97" s="98"/>
      <c r="AP97" s="98"/>
      <c r="AQ97" s="98"/>
      <c r="AR97" s="98"/>
      <c r="AS97" s="98">
        <f t="shared" si="12"/>
        <v>0.63</v>
      </c>
      <c r="AT97" s="99"/>
    </row>
    <row r="98" customFormat="1" ht="34" customHeight="1" spans="1:46">
      <c r="A98" s="92">
        <f t="shared" si="10"/>
        <v>95</v>
      </c>
      <c r="B98" s="93" t="s">
        <v>170</v>
      </c>
      <c r="C98" s="94" t="s">
        <v>165</v>
      </c>
      <c r="D98" s="95" t="s">
        <v>23</v>
      </c>
      <c r="E98" s="95" t="s">
        <v>23</v>
      </c>
      <c r="F98" s="95" t="s">
        <v>23</v>
      </c>
      <c r="G98" s="95" t="s">
        <v>24</v>
      </c>
      <c r="H98" s="95" t="s">
        <v>24</v>
      </c>
      <c r="I98" s="95" t="s">
        <v>23</v>
      </c>
      <c r="J98" s="95" t="s">
        <v>24</v>
      </c>
      <c r="K98" s="95" t="s">
        <v>24</v>
      </c>
      <c r="L98" s="97" t="s">
        <v>26</v>
      </c>
      <c r="M98" s="97" t="s">
        <v>26</v>
      </c>
      <c r="N98" s="97" t="s">
        <v>26</v>
      </c>
      <c r="O98" s="95" t="s">
        <v>24</v>
      </c>
      <c r="P98" s="97" t="s">
        <v>26</v>
      </c>
      <c r="Q98" s="97" t="s">
        <v>26</v>
      </c>
      <c r="R98" s="97" t="s">
        <v>26</v>
      </c>
      <c r="S98" s="97" t="s">
        <v>26</v>
      </c>
      <c r="T98" s="97" t="s">
        <v>26</v>
      </c>
      <c r="U98" s="95" t="s">
        <v>24</v>
      </c>
      <c r="V98" s="95" t="s">
        <v>24</v>
      </c>
      <c r="W98" s="97" t="s">
        <v>26</v>
      </c>
      <c r="X98" s="97" t="s">
        <v>26</v>
      </c>
      <c r="Y98" s="97" t="s">
        <v>26</v>
      </c>
      <c r="Z98" s="97" t="s">
        <v>26</v>
      </c>
      <c r="AA98" s="97" t="s">
        <v>26</v>
      </c>
      <c r="AB98" s="95" t="s">
        <v>24</v>
      </c>
      <c r="AC98" s="95" t="s">
        <v>24</v>
      </c>
      <c r="AD98" s="97" t="s">
        <v>26</v>
      </c>
      <c r="AE98" s="97" t="s">
        <v>26</v>
      </c>
      <c r="AF98" s="97" t="s">
        <v>26</v>
      </c>
      <c r="AG98" s="97" t="s">
        <v>26</v>
      </c>
      <c r="AH98" s="97" t="s">
        <v>26</v>
      </c>
      <c r="AI98" s="98">
        <f t="shared" si="11"/>
        <v>31</v>
      </c>
      <c r="AJ98" s="98">
        <f t="shared" si="8"/>
        <v>18</v>
      </c>
      <c r="AK98" s="98">
        <v>9</v>
      </c>
      <c r="AL98" s="98">
        <v>4</v>
      </c>
      <c r="AM98" s="98">
        <v>0</v>
      </c>
      <c r="AN98" s="98"/>
      <c r="AO98" s="98"/>
      <c r="AP98" s="98"/>
      <c r="AQ98" s="98"/>
      <c r="AR98" s="98"/>
      <c r="AS98" s="98">
        <f t="shared" si="12"/>
        <v>0</v>
      </c>
      <c r="AT98" s="99"/>
    </row>
    <row r="99" customFormat="1" ht="34" customHeight="1" spans="1:46">
      <c r="A99" s="92">
        <f t="shared" si="10"/>
        <v>96</v>
      </c>
      <c r="B99" s="93" t="s">
        <v>171</v>
      </c>
      <c r="C99" s="94" t="s">
        <v>165</v>
      </c>
      <c r="D99" s="95" t="s">
        <v>23</v>
      </c>
      <c r="E99" s="95" t="s">
        <v>23</v>
      </c>
      <c r="F99" s="95" t="s">
        <v>23</v>
      </c>
      <c r="G99" s="95" t="s">
        <v>24</v>
      </c>
      <c r="H99" s="95" t="s">
        <v>24</v>
      </c>
      <c r="I99" s="95" t="s">
        <v>23</v>
      </c>
      <c r="J99" s="95" t="s">
        <v>24</v>
      </c>
      <c r="K99" s="95" t="s">
        <v>24</v>
      </c>
      <c r="L99" s="100" t="s">
        <v>25</v>
      </c>
      <c r="M99" s="97" t="s">
        <v>26</v>
      </c>
      <c r="N99" s="97" t="s">
        <v>26</v>
      </c>
      <c r="O99" s="95" t="s">
        <v>24</v>
      </c>
      <c r="P99" s="97" t="s">
        <v>26</v>
      </c>
      <c r="Q99" s="97" t="s">
        <v>26</v>
      </c>
      <c r="R99" s="97" t="s">
        <v>26</v>
      </c>
      <c r="S99" s="97" t="s">
        <v>26</v>
      </c>
      <c r="T99" s="97" t="s">
        <v>26</v>
      </c>
      <c r="U99" s="95" t="s">
        <v>24</v>
      </c>
      <c r="V99" s="95" t="s">
        <v>24</v>
      </c>
      <c r="W99" s="97" t="s">
        <v>26</v>
      </c>
      <c r="X99" s="97" t="s">
        <v>26</v>
      </c>
      <c r="Y99" s="97" t="s">
        <v>26</v>
      </c>
      <c r="Z99" s="97" t="s">
        <v>26</v>
      </c>
      <c r="AA99" s="100" t="s">
        <v>25</v>
      </c>
      <c r="AB99" s="95" t="s">
        <v>24</v>
      </c>
      <c r="AC99" s="95" t="s">
        <v>24</v>
      </c>
      <c r="AD99" s="97" t="s">
        <v>26</v>
      </c>
      <c r="AE99" s="97" t="s">
        <v>26</v>
      </c>
      <c r="AF99" s="97" t="s">
        <v>26</v>
      </c>
      <c r="AG99" s="97" t="s">
        <v>26</v>
      </c>
      <c r="AH99" s="97" t="s">
        <v>26</v>
      </c>
      <c r="AI99" s="98">
        <f t="shared" si="11"/>
        <v>31</v>
      </c>
      <c r="AJ99" s="98">
        <f t="shared" si="8"/>
        <v>16</v>
      </c>
      <c r="AK99" s="98">
        <v>9</v>
      </c>
      <c r="AL99" s="98">
        <v>4</v>
      </c>
      <c r="AM99" s="98">
        <v>2</v>
      </c>
      <c r="AN99" s="98"/>
      <c r="AO99" s="98"/>
      <c r="AP99" s="98"/>
      <c r="AQ99" s="98"/>
      <c r="AR99" s="98"/>
      <c r="AS99" s="98">
        <f t="shared" si="12"/>
        <v>2</v>
      </c>
      <c r="AT99" s="99"/>
    </row>
    <row r="100" ht="34" customHeight="1" spans="1:46">
      <c r="A100" s="92">
        <f t="shared" si="10"/>
        <v>97</v>
      </c>
      <c r="B100" s="93" t="s">
        <v>172</v>
      </c>
      <c r="C100" s="94" t="s">
        <v>173</v>
      </c>
      <c r="D100" s="95" t="s">
        <v>23</v>
      </c>
      <c r="E100" s="95" t="s">
        <v>23</v>
      </c>
      <c r="F100" s="95" t="s">
        <v>23</v>
      </c>
      <c r="G100" s="95" t="s">
        <v>24</v>
      </c>
      <c r="H100" s="95" t="s">
        <v>24</v>
      </c>
      <c r="I100" s="95" t="s">
        <v>23</v>
      </c>
      <c r="J100" s="95" t="s">
        <v>24</v>
      </c>
      <c r="K100" s="95" t="s">
        <v>24</v>
      </c>
      <c r="L100" s="97" t="s">
        <v>26</v>
      </c>
      <c r="M100" s="97" t="s">
        <v>26</v>
      </c>
      <c r="N100" s="97" t="s">
        <v>26</v>
      </c>
      <c r="O100" s="95" t="s">
        <v>24</v>
      </c>
      <c r="P100" s="97" t="s">
        <v>26</v>
      </c>
      <c r="Q100" s="97" t="s">
        <v>26</v>
      </c>
      <c r="R100" s="97" t="s">
        <v>26</v>
      </c>
      <c r="S100" s="97" t="s">
        <v>26</v>
      </c>
      <c r="T100" s="100" t="s">
        <v>25</v>
      </c>
      <c r="U100" s="95" t="s">
        <v>24</v>
      </c>
      <c r="V100" s="95" t="s">
        <v>24</v>
      </c>
      <c r="W100" s="100" t="s">
        <v>25</v>
      </c>
      <c r="X100" s="97" t="s">
        <v>26</v>
      </c>
      <c r="Y100" s="97" t="s">
        <v>26</v>
      </c>
      <c r="Z100" s="97" t="s">
        <v>26</v>
      </c>
      <c r="AA100" s="97" t="s">
        <v>26</v>
      </c>
      <c r="AB100" s="95" t="s">
        <v>24</v>
      </c>
      <c r="AC100" s="95" t="s">
        <v>24</v>
      </c>
      <c r="AD100" s="97" t="s">
        <v>26</v>
      </c>
      <c r="AE100" s="97" t="s">
        <v>26</v>
      </c>
      <c r="AF100" s="97" t="s">
        <v>26</v>
      </c>
      <c r="AG100" s="97" t="s">
        <v>26</v>
      </c>
      <c r="AH100" s="97" t="s">
        <v>26</v>
      </c>
      <c r="AI100" s="98">
        <f t="shared" si="11"/>
        <v>31</v>
      </c>
      <c r="AJ100" s="98">
        <f t="shared" si="8"/>
        <v>16</v>
      </c>
      <c r="AK100" s="98">
        <v>9</v>
      </c>
      <c r="AL100" s="98">
        <v>4</v>
      </c>
      <c r="AM100" s="98">
        <v>2</v>
      </c>
      <c r="AN100" s="98"/>
      <c r="AO100" s="98"/>
      <c r="AP100" s="98"/>
      <c r="AQ100" s="98"/>
      <c r="AR100" s="98"/>
      <c r="AS100" s="98">
        <f t="shared" si="12"/>
        <v>2</v>
      </c>
      <c r="AT100" s="99"/>
    </row>
    <row r="101" customFormat="1" ht="34" customHeight="1" spans="1:46">
      <c r="A101" s="92">
        <f t="shared" si="10"/>
        <v>98</v>
      </c>
      <c r="B101" s="93" t="s">
        <v>174</v>
      </c>
      <c r="C101" s="94" t="s">
        <v>173</v>
      </c>
      <c r="D101" s="95" t="s">
        <v>23</v>
      </c>
      <c r="E101" s="95" t="s">
        <v>23</v>
      </c>
      <c r="F101" s="95" t="s">
        <v>23</v>
      </c>
      <c r="G101" s="95" t="s">
        <v>24</v>
      </c>
      <c r="H101" s="95" t="s">
        <v>24</v>
      </c>
      <c r="I101" s="95" t="s">
        <v>23</v>
      </c>
      <c r="J101" s="95" t="s">
        <v>24</v>
      </c>
      <c r="K101" s="95" t="s">
        <v>24</v>
      </c>
      <c r="L101" s="97" t="s">
        <v>26</v>
      </c>
      <c r="M101" s="97" t="s">
        <v>26</v>
      </c>
      <c r="N101" s="97" t="s">
        <v>26</v>
      </c>
      <c r="O101" s="95" t="s">
        <v>24</v>
      </c>
      <c r="P101" s="97" t="s">
        <v>26</v>
      </c>
      <c r="Q101" s="97" t="s">
        <v>26</v>
      </c>
      <c r="R101" s="97" t="s">
        <v>26</v>
      </c>
      <c r="S101" s="97" t="s">
        <v>26</v>
      </c>
      <c r="T101" s="97" t="s">
        <v>26</v>
      </c>
      <c r="U101" s="95" t="s">
        <v>24</v>
      </c>
      <c r="V101" s="95" t="s">
        <v>24</v>
      </c>
      <c r="W101" s="97" t="s">
        <v>26</v>
      </c>
      <c r="X101" s="97" t="s">
        <v>26</v>
      </c>
      <c r="Y101" s="97" t="s">
        <v>26</v>
      </c>
      <c r="Z101" s="97" t="s">
        <v>26</v>
      </c>
      <c r="AA101" s="97" t="s">
        <v>26</v>
      </c>
      <c r="AB101" s="95" t="s">
        <v>24</v>
      </c>
      <c r="AC101" s="95" t="s">
        <v>24</v>
      </c>
      <c r="AD101" s="97" t="s">
        <v>26</v>
      </c>
      <c r="AE101" s="97" t="s">
        <v>26</v>
      </c>
      <c r="AF101" s="97" t="s">
        <v>26</v>
      </c>
      <c r="AG101" s="97" t="s">
        <v>26</v>
      </c>
      <c r="AH101" s="97" t="s">
        <v>26</v>
      </c>
      <c r="AI101" s="98">
        <f t="shared" si="11"/>
        <v>31</v>
      </c>
      <c r="AJ101" s="98">
        <f t="shared" si="8"/>
        <v>18</v>
      </c>
      <c r="AK101" s="98">
        <v>9</v>
      </c>
      <c r="AL101" s="98">
        <v>4</v>
      </c>
      <c r="AM101" s="98">
        <v>0</v>
      </c>
      <c r="AN101" s="98"/>
      <c r="AO101" s="98"/>
      <c r="AP101" s="98"/>
      <c r="AQ101" s="98"/>
      <c r="AR101" s="98"/>
      <c r="AS101" s="98">
        <f t="shared" si="12"/>
        <v>0</v>
      </c>
      <c r="AT101" s="99"/>
    </row>
    <row r="102" customFormat="1" ht="34" customHeight="1" spans="1:46">
      <c r="A102" s="92">
        <f t="shared" si="10"/>
        <v>99</v>
      </c>
      <c r="B102" s="93" t="s">
        <v>175</v>
      </c>
      <c r="C102" s="94" t="s">
        <v>173</v>
      </c>
      <c r="D102" s="95" t="s">
        <v>23</v>
      </c>
      <c r="E102" s="95" t="s">
        <v>23</v>
      </c>
      <c r="F102" s="95" t="s">
        <v>23</v>
      </c>
      <c r="G102" s="95" t="s">
        <v>24</v>
      </c>
      <c r="H102" s="95" t="s">
        <v>24</v>
      </c>
      <c r="I102" s="95" t="s">
        <v>23</v>
      </c>
      <c r="J102" s="95" t="s">
        <v>24</v>
      </c>
      <c r="K102" s="95" t="s">
        <v>24</v>
      </c>
      <c r="L102" s="97" t="s">
        <v>26</v>
      </c>
      <c r="M102" s="97" t="s">
        <v>26</v>
      </c>
      <c r="N102" s="97" t="s">
        <v>26</v>
      </c>
      <c r="O102" s="95" t="s">
        <v>24</v>
      </c>
      <c r="P102" s="97" t="s">
        <v>26</v>
      </c>
      <c r="Q102" s="97" t="s">
        <v>26</v>
      </c>
      <c r="R102" s="97" t="s">
        <v>26</v>
      </c>
      <c r="S102" s="97" t="s">
        <v>26</v>
      </c>
      <c r="T102" s="97" t="s">
        <v>26</v>
      </c>
      <c r="U102" s="95" t="s">
        <v>24</v>
      </c>
      <c r="V102" s="95" t="s">
        <v>24</v>
      </c>
      <c r="W102" s="97" t="s">
        <v>26</v>
      </c>
      <c r="X102" s="97" t="s">
        <v>26</v>
      </c>
      <c r="Y102" s="97" t="s">
        <v>26</v>
      </c>
      <c r="Z102" s="97" t="s">
        <v>26</v>
      </c>
      <c r="AA102" s="97" t="s">
        <v>26</v>
      </c>
      <c r="AB102" s="95" t="s">
        <v>24</v>
      </c>
      <c r="AC102" s="95" t="s">
        <v>24</v>
      </c>
      <c r="AD102" s="100" t="s">
        <v>25</v>
      </c>
      <c r="AE102" s="100" t="s">
        <v>25</v>
      </c>
      <c r="AF102" s="97" t="s">
        <v>26</v>
      </c>
      <c r="AG102" s="97" t="s">
        <v>26</v>
      </c>
      <c r="AH102" s="97" t="s">
        <v>26</v>
      </c>
      <c r="AI102" s="98">
        <f t="shared" si="11"/>
        <v>31</v>
      </c>
      <c r="AJ102" s="98">
        <f t="shared" ref="AJ102:AJ165" si="13">18-AM102</f>
        <v>16</v>
      </c>
      <c r="AK102" s="98">
        <v>9</v>
      </c>
      <c r="AL102" s="98">
        <v>4</v>
      </c>
      <c r="AM102" s="98">
        <v>2</v>
      </c>
      <c r="AN102" s="98"/>
      <c r="AO102" s="98"/>
      <c r="AP102" s="98"/>
      <c r="AQ102" s="98"/>
      <c r="AR102" s="98"/>
      <c r="AS102" s="98">
        <f t="shared" si="12"/>
        <v>2</v>
      </c>
      <c r="AT102" s="99"/>
    </row>
    <row r="103" customFormat="1" ht="34" customHeight="1" spans="1:46">
      <c r="A103" s="92">
        <f t="shared" si="10"/>
        <v>100</v>
      </c>
      <c r="B103" s="93" t="s">
        <v>176</v>
      </c>
      <c r="C103" s="94" t="s">
        <v>173</v>
      </c>
      <c r="D103" s="95" t="s">
        <v>23</v>
      </c>
      <c r="E103" s="95" t="s">
        <v>23</v>
      </c>
      <c r="F103" s="95" t="s">
        <v>23</v>
      </c>
      <c r="G103" s="95" t="s">
        <v>24</v>
      </c>
      <c r="H103" s="95" t="s">
        <v>24</v>
      </c>
      <c r="I103" s="95" t="s">
        <v>23</v>
      </c>
      <c r="J103" s="95" t="s">
        <v>24</v>
      </c>
      <c r="K103" s="95" t="s">
        <v>24</v>
      </c>
      <c r="L103" s="97" t="s">
        <v>26</v>
      </c>
      <c r="M103" s="97" t="s">
        <v>26</v>
      </c>
      <c r="N103" s="97" t="s">
        <v>26</v>
      </c>
      <c r="O103" s="95" t="s">
        <v>24</v>
      </c>
      <c r="P103" s="97" t="s">
        <v>26</v>
      </c>
      <c r="Q103" s="97" t="s">
        <v>26</v>
      </c>
      <c r="R103" s="97" t="s">
        <v>26</v>
      </c>
      <c r="S103" s="97" t="s">
        <v>26</v>
      </c>
      <c r="T103" s="97" t="s">
        <v>26</v>
      </c>
      <c r="U103" s="95" t="s">
        <v>24</v>
      </c>
      <c r="V103" s="95" t="s">
        <v>24</v>
      </c>
      <c r="W103" s="97" t="s">
        <v>26</v>
      </c>
      <c r="X103" s="97" t="s">
        <v>26</v>
      </c>
      <c r="Y103" s="97" t="s">
        <v>26</v>
      </c>
      <c r="Z103" s="97" t="s">
        <v>26</v>
      </c>
      <c r="AA103" s="97" t="s">
        <v>26</v>
      </c>
      <c r="AB103" s="95" t="s">
        <v>24</v>
      </c>
      <c r="AC103" s="95" t="s">
        <v>24</v>
      </c>
      <c r="AD103" s="97" t="s">
        <v>26</v>
      </c>
      <c r="AE103" s="100" t="s">
        <v>25</v>
      </c>
      <c r="AF103" s="97" t="s">
        <v>26</v>
      </c>
      <c r="AG103" s="97" t="s">
        <v>26</v>
      </c>
      <c r="AH103" s="97" t="s">
        <v>26</v>
      </c>
      <c r="AI103" s="98">
        <f t="shared" si="11"/>
        <v>31</v>
      </c>
      <c r="AJ103" s="98">
        <f t="shared" si="13"/>
        <v>17</v>
      </c>
      <c r="AK103" s="98">
        <v>9</v>
      </c>
      <c r="AL103" s="98">
        <v>4</v>
      </c>
      <c r="AM103" s="98">
        <v>1</v>
      </c>
      <c r="AN103" s="98"/>
      <c r="AO103" s="98"/>
      <c r="AP103" s="98"/>
      <c r="AQ103" s="98"/>
      <c r="AR103" s="98"/>
      <c r="AS103" s="98">
        <f t="shared" si="12"/>
        <v>1</v>
      </c>
      <c r="AT103" s="99"/>
    </row>
    <row r="104" customFormat="1" ht="34" customHeight="1" spans="1:46">
      <c r="A104" s="92">
        <f t="shared" si="10"/>
        <v>101</v>
      </c>
      <c r="B104" s="93" t="s">
        <v>177</v>
      </c>
      <c r="C104" s="94" t="s">
        <v>173</v>
      </c>
      <c r="D104" s="95" t="s">
        <v>23</v>
      </c>
      <c r="E104" s="95" t="s">
        <v>23</v>
      </c>
      <c r="F104" s="95" t="s">
        <v>23</v>
      </c>
      <c r="G104" s="95" t="s">
        <v>24</v>
      </c>
      <c r="H104" s="95" t="s">
        <v>24</v>
      </c>
      <c r="I104" s="95" t="s">
        <v>23</v>
      </c>
      <c r="J104" s="95" t="s">
        <v>24</v>
      </c>
      <c r="K104" s="95" t="s">
        <v>24</v>
      </c>
      <c r="L104" s="97" t="s">
        <v>26</v>
      </c>
      <c r="M104" s="97" t="s">
        <v>26</v>
      </c>
      <c r="N104" s="97" t="s">
        <v>26</v>
      </c>
      <c r="O104" s="95" t="s">
        <v>24</v>
      </c>
      <c r="P104" s="97" t="s">
        <v>26</v>
      </c>
      <c r="Q104" s="97" t="s">
        <v>26</v>
      </c>
      <c r="R104" s="97" t="s">
        <v>26</v>
      </c>
      <c r="S104" s="97" t="s">
        <v>26</v>
      </c>
      <c r="T104" s="97" t="s">
        <v>26</v>
      </c>
      <c r="U104" s="95" t="s">
        <v>24</v>
      </c>
      <c r="V104" s="95" t="s">
        <v>24</v>
      </c>
      <c r="W104" s="97" t="s">
        <v>26</v>
      </c>
      <c r="X104" s="97" t="s">
        <v>26</v>
      </c>
      <c r="Y104" s="97" t="s">
        <v>26</v>
      </c>
      <c r="Z104" s="97" t="s">
        <v>26</v>
      </c>
      <c r="AA104" s="97" t="s">
        <v>26</v>
      </c>
      <c r="AB104" s="95" t="s">
        <v>24</v>
      </c>
      <c r="AC104" s="95" t="s">
        <v>24</v>
      </c>
      <c r="AD104" s="97" t="s">
        <v>26</v>
      </c>
      <c r="AE104" s="97" t="s">
        <v>26</v>
      </c>
      <c r="AF104" s="97" t="s">
        <v>26</v>
      </c>
      <c r="AG104" s="97" t="s">
        <v>26</v>
      </c>
      <c r="AH104" s="97" t="s">
        <v>26</v>
      </c>
      <c r="AI104" s="98">
        <f t="shared" si="11"/>
        <v>31</v>
      </c>
      <c r="AJ104" s="98">
        <f t="shared" si="13"/>
        <v>18</v>
      </c>
      <c r="AK104" s="98">
        <v>9</v>
      </c>
      <c r="AL104" s="98">
        <v>4</v>
      </c>
      <c r="AM104" s="98">
        <v>0</v>
      </c>
      <c r="AN104" s="98"/>
      <c r="AO104" s="98"/>
      <c r="AP104" s="98"/>
      <c r="AQ104" s="98"/>
      <c r="AR104" s="98"/>
      <c r="AS104" s="98">
        <f t="shared" si="12"/>
        <v>0</v>
      </c>
      <c r="AT104" s="99"/>
    </row>
    <row r="105" customFormat="1" ht="34" customHeight="1" spans="1:46">
      <c r="A105" s="92">
        <f t="shared" si="10"/>
        <v>102</v>
      </c>
      <c r="B105" s="93" t="s">
        <v>178</v>
      </c>
      <c r="C105" s="94" t="s">
        <v>173</v>
      </c>
      <c r="D105" s="95" t="s">
        <v>23</v>
      </c>
      <c r="E105" s="95" t="s">
        <v>23</v>
      </c>
      <c r="F105" s="95" t="s">
        <v>23</v>
      </c>
      <c r="G105" s="95" t="s">
        <v>24</v>
      </c>
      <c r="H105" s="95" t="s">
        <v>24</v>
      </c>
      <c r="I105" s="95" t="s">
        <v>23</v>
      </c>
      <c r="J105" s="95" t="s">
        <v>24</v>
      </c>
      <c r="K105" s="95" t="s">
        <v>24</v>
      </c>
      <c r="L105" s="97" t="s">
        <v>26</v>
      </c>
      <c r="M105" s="97" t="s">
        <v>26</v>
      </c>
      <c r="N105" s="97" t="s">
        <v>26</v>
      </c>
      <c r="O105" s="95" t="s">
        <v>24</v>
      </c>
      <c r="P105" s="97" t="s">
        <v>26</v>
      </c>
      <c r="Q105" s="97" t="s">
        <v>26</v>
      </c>
      <c r="R105" s="97" t="s">
        <v>26</v>
      </c>
      <c r="S105" s="97" t="s">
        <v>26</v>
      </c>
      <c r="T105" s="97" t="s">
        <v>26</v>
      </c>
      <c r="U105" s="95" t="s">
        <v>24</v>
      </c>
      <c r="V105" s="95" t="s">
        <v>24</v>
      </c>
      <c r="W105" s="97" t="s">
        <v>26</v>
      </c>
      <c r="X105" s="97" t="s">
        <v>26</v>
      </c>
      <c r="Y105" s="97" t="s">
        <v>26</v>
      </c>
      <c r="Z105" s="97" t="s">
        <v>26</v>
      </c>
      <c r="AA105" s="97" t="s">
        <v>26</v>
      </c>
      <c r="AB105" s="95" t="s">
        <v>24</v>
      </c>
      <c r="AC105" s="95" t="s">
        <v>24</v>
      </c>
      <c r="AD105" s="129" t="s">
        <v>179</v>
      </c>
      <c r="AE105" s="129" t="s">
        <v>179</v>
      </c>
      <c r="AF105" s="129" t="s">
        <v>179</v>
      </c>
      <c r="AG105" s="100" t="s">
        <v>25</v>
      </c>
      <c r="AH105" s="100" t="s">
        <v>25</v>
      </c>
      <c r="AI105" s="98">
        <f t="shared" si="11"/>
        <v>31</v>
      </c>
      <c r="AJ105" s="98">
        <f t="shared" si="13"/>
        <v>13</v>
      </c>
      <c r="AK105" s="98">
        <v>9</v>
      </c>
      <c r="AL105" s="98">
        <v>4</v>
      </c>
      <c r="AM105" s="98">
        <v>5</v>
      </c>
      <c r="AN105" s="98"/>
      <c r="AO105" s="98"/>
      <c r="AP105" s="98"/>
      <c r="AQ105" s="98">
        <v>3</v>
      </c>
      <c r="AR105" s="98"/>
      <c r="AS105" s="98">
        <f t="shared" si="12"/>
        <v>2</v>
      </c>
      <c r="AT105" s="99" t="s">
        <v>180</v>
      </c>
    </row>
    <row r="106" customFormat="1" ht="34" customHeight="1" spans="1:46">
      <c r="A106" s="92">
        <f t="shared" si="10"/>
        <v>103</v>
      </c>
      <c r="B106" s="93" t="s">
        <v>181</v>
      </c>
      <c r="C106" s="94" t="s">
        <v>173</v>
      </c>
      <c r="D106" s="95" t="s">
        <v>23</v>
      </c>
      <c r="E106" s="95" t="s">
        <v>23</v>
      </c>
      <c r="F106" s="95" t="s">
        <v>23</v>
      </c>
      <c r="G106" s="95" t="s">
        <v>24</v>
      </c>
      <c r="H106" s="95" t="s">
        <v>24</v>
      </c>
      <c r="I106" s="95" t="s">
        <v>23</v>
      </c>
      <c r="J106" s="95" t="s">
        <v>24</v>
      </c>
      <c r="K106" s="95" t="s">
        <v>24</v>
      </c>
      <c r="L106" s="97" t="s">
        <v>26</v>
      </c>
      <c r="M106" s="97" t="s">
        <v>26</v>
      </c>
      <c r="N106" s="97" t="s">
        <v>26</v>
      </c>
      <c r="O106" s="95" t="s">
        <v>24</v>
      </c>
      <c r="P106" s="97" t="s">
        <v>26</v>
      </c>
      <c r="Q106" s="97" t="s">
        <v>26</v>
      </c>
      <c r="R106" s="97" t="s">
        <v>26</v>
      </c>
      <c r="S106" s="97" t="s">
        <v>26</v>
      </c>
      <c r="T106" s="97" t="s">
        <v>26</v>
      </c>
      <c r="U106" s="95" t="s">
        <v>24</v>
      </c>
      <c r="V106" s="95" t="s">
        <v>24</v>
      </c>
      <c r="W106" s="97" t="s">
        <v>26</v>
      </c>
      <c r="X106" s="97" t="s">
        <v>26</v>
      </c>
      <c r="Y106" s="97" t="s">
        <v>26</v>
      </c>
      <c r="Z106" s="97" t="s">
        <v>26</v>
      </c>
      <c r="AA106" s="97" t="s">
        <v>26</v>
      </c>
      <c r="AB106" s="95" t="s">
        <v>24</v>
      </c>
      <c r="AC106" s="95" t="s">
        <v>24</v>
      </c>
      <c r="AD106" s="97" t="s">
        <v>26</v>
      </c>
      <c r="AE106" s="97" t="s">
        <v>26</v>
      </c>
      <c r="AF106" s="97" t="s">
        <v>26</v>
      </c>
      <c r="AG106" s="97" t="s">
        <v>26</v>
      </c>
      <c r="AH106" s="97" t="s">
        <v>26</v>
      </c>
      <c r="AI106" s="98">
        <f t="shared" si="11"/>
        <v>31</v>
      </c>
      <c r="AJ106" s="98">
        <f t="shared" si="13"/>
        <v>18</v>
      </c>
      <c r="AK106" s="98">
        <v>9</v>
      </c>
      <c r="AL106" s="98">
        <v>4</v>
      </c>
      <c r="AM106" s="98">
        <v>0</v>
      </c>
      <c r="AN106" s="98"/>
      <c r="AO106" s="98"/>
      <c r="AP106" s="98"/>
      <c r="AQ106" s="98"/>
      <c r="AR106" s="98"/>
      <c r="AS106" s="98">
        <f t="shared" si="12"/>
        <v>0</v>
      </c>
      <c r="AT106" s="99"/>
    </row>
    <row r="107" customFormat="1" ht="34" customHeight="1" spans="1:46">
      <c r="A107" s="92">
        <f t="shared" si="10"/>
        <v>104</v>
      </c>
      <c r="B107" s="93" t="s">
        <v>182</v>
      </c>
      <c r="C107" s="94" t="s">
        <v>173</v>
      </c>
      <c r="D107" s="95" t="s">
        <v>23</v>
      </c>
      <c r="E107" s="95" t="s">
        <v>23</v>
      </c>
      <c r="F107" s="95" t="s">
        <v>23</v>
      </c>
      <c r="G107" s="95" t="s">
        <v>24</v>
      </c>
      <c r="H107" s="95" t="s">
        <v>24</v>
      </c>
      <c r="I107" s="95" t="s">
        <v>23</v>
      </c>
      <c r="J107" s="95" t="s">
        <v>24</v>
      </c>
      <c r="K107" s="95" t="s">
        <v>24</v>
      </c>
      <c r="L107" s="97" t="s">
        <v>26</v>
      </c>
      <c r="M107" s="97" t="s">
        <v>26</v>
      </c>
      <c r="N107" s="97" t="s">
        <v>26</v>
      </c>
      <c r="O107" s="95" t="s">
        <v>24</v>
      </c>
      <c r="P107" s="97" t="s">
        <v>26</v>
      </c>
      <c r="Q107" s="97" t="s">
        <v>26</v>
      </c>
      <c r="R107" s="97" t="s">
        <v>26</v>
      </c>
      <c r="S107" s="97" t="s">
        <v>26</v>
      </c>
      <c r="T107" s="97" t="s">
        <v>26</v>
      </c>
      <c r="U107" s="95" t="s">
        <v>24</v>
      </c>
      <c r="V107" s="95" t="s">
        <v>24</v>
      </c>
      <c r="W107" s="97" t="s">
        <v>26</v>
      </c>
      <c r="X107" s="97" t="s">
        <v>26</v>
      </c>
      <c r="Y107" s="97" t="s">
        <v>26</v>
      </c>
      <c r="Z107" s="97" t="s">
        <v>26</v>
      </c>
      <c r="AA107" s="97" t="s">
        <v>26</v>
      </c>
      <c r="AB107" s="95" t="s">
        <v>24</v>
      </c>
      <c r="AC107" s="95" t="s">
        <v>24</v>
      </c>
      <c r="AD107" s="97" t="s">
        <v>26</v>
      </c>
      <c r="AE107" s="97" t="s">
        <v>26</v>
      </c>
      <c r="AF107" s="97" t="s">
        <v>26</v>
      </c>
      <c r="AG107" s="97" t="s">
        <v>26</v>
      </c>
      <c r="AH107" s="97" t="s">
        <v>26</v>
      </c>
      <c r="AI107" s="98">
        <f t="shared" si="11"/>
        <v>31</v>
      </c>
      <c r="AJ107" s="98">
        <f t="shared" si="13"/>
        <v>18</v>
      </c>
      <c r="AK107" s="98">
        <v>9</v>
      </c>
      <c r="AL107" s="98">
        <v>4</v>
      </c>
      <c r="AM107" s="98">
        <v>0</v>
      </c>
      <c r="AN107" s="98"/>
      <c r="AO107" s="98"/>
      <c r="AP107" s="98"/>
      <c r="AQ107" s="98"/>
      <c r="AR107" s="98"/>
      <c r="AS107" s="98">
        <f t="shared" si="12"/>
        <v>0</v>
      </c>
      <c r="AT107" s="99"/>
    </row>
    <row r="108" customFormat="1" ht="34" customHeight="1" spans="1:46">
      <c r="A108" s="92">
        <f t="shared" si="10"/>
        <v>105</v>
      </c>
      <c r="B108" s="93" t="s">
        <v>183</v>
      </c>
      <c r="C108" s="94" t="s">
        <v>173</v>
      </c>
      <c r="D108" s="95" t="s">
        <v>23</v>
      </c>
      <c r="E108" s="95" t="s">
        <v>23</v>
      </c>
      <c r="F108" s="95" t="s">
        <v>23</v>
      </c>
      <c r="G108" s="95" t="s">
        <v>24</v>
      </c>
      <c r="H108" s="95" t="s">
        <v>24</v>
      </c>
      <c r="I108" s="95" t="s">
        <v>23</v>
      </c>
      <c r="J108" s="95" t="s">
        <v>24</v>
      </c>
      <c r="K108" s="95" t="s">
        <v>24</v>
      </c>
      <c r="L108" s="97" t="s">
        <v>26</v>
      </c>
      <c r="M108" s="97" t="s">
        <v>26</v>
      </c>
      <c r="N108" s="97" t="s">
        <v>26</v>
      </c>
      <c r="O108" s="95" t="s">
        <v>24</v>
      </c>
      <c r="P108" s="97" t="s">
        <v>26</v>
      </c>
      <c r="Q108" s="97" t="s">
        <v>26</v>
      </c>
      <c r="R108" s="97" t="s">
        <v>26</v>
      </c>
      <c r="S108" s="97" t="s">
        <v>26</v>
      </c>
      <c r="T108" s="97" t="s">
        <v>26</v>
      </c>
      <c r="U108" s="95" t="s">
        <v>24</v>
      </c>
      <c r="V108" s="95" t="s">
        <v>24</v>
      </c>
      <c r="W108" s="97" t="s">
        <v>26</v>
      </c>
      <c r="X108" s="97" t="s">
        <v>26</v>
      </c>
      <c r="Y108" s="97" t="s">
        <v>26</v>
      </c>
      <c r="Z108" s="97" t="s">
        <v>26</v>
      </c>
      <c r="AA108" s="97" t="s">
        <v>26</v>
      </c>
      <c r="AB108" s="95" t="s">
        <v>24</v>
      </c>
      <c r="AC108" s="95" t="s">
        <v>24</v>
      </c>
      <c r="AD108" s="97" t="s">
        <v>26</v>
      </c>
      <c r="AE108" s="97" t="s">
        <v>26</v>
      </c>
      <c r="AF108" s="97" t="s">
        <v>26</v>
      </c>
      <c r="AG108" s="97" t="s">
        <v>26</v>
      </c>
      <c r="AH108" s="97" t="s">
        <v>26</v>
      </c>
      <c r="AI108" s="98">
        <f t="shared" si="11"/>
        <v>31</v>
      </c>
      <c r="AJ108" s="98">
        <f t="shared" si="13"/>
        <v>18</v>
      </c>
      <c r="AK108" s="98">
        <v>9</v>
      </c>
      <c r="AL108" s="98">
        <v>4</v>
      </c>
      <c r="AM108" s="98">
        <v>0</v>
      </c>
      <c r="AN108" s="98"/>
      <c r="AO108" s="98"/>
      <c r="AP108" s="98"/>
      <c r="AQ108" s="98"/>
      <c r="AR108" s="98"/>
      <c r="AS108" s="98">
        <f t="shared" si="12"/>
        <v>0</v>
      </c>
      <c r="AT108" s="99"/>
    </row>
    <row r="109" customFormat="1" ht="34" customHeight="1" spans="1:46">
      <c r="A109" s="92">
        <f t="shared" si="10"/>
        <v>106</v>
      </c>
      <c r="B109" s="93" t="s">
        <v>184</v>
      </c>
      <c r="C109" s="94" t="s">
        <v>173</v>
      </c>
      <c r="D109" s="95" t="s">
        <v>23</v>
      </c>
      <c r="E109" s="95" t="s">
        <v>23</v>
      </c>
      <c r="F109" s="95" t="s">
        <v>23</v>
      </c>
      <c r="G109" s="95" t="s">
        <v>24</v>
      </c>
      <c r="H109" s="95" t="s">
        <v>24</v>
      </c>
      <c r="I109" s="95" t="s">
        <v>23</v>
      </c>
      <c r="J109" s="95" t="s">
        <v>24</v>
      </c>
      <c r="K109" s="95" t="s">
        <v>24</v>
      </c>
      <c r="L109" s="97" t="s">
        <v>26</v>
      </c>
      <c r="M109" s="97" t="s">
        <v>26</v>
      </c>
      <c r="N109" s="97" t="s">
        <v>26</v>
      </c>
      <c r="O109" s="95" t="s">
        <v>24</v>
      </c>
      <c r="P109" s="97" t="s">
        <v>26</v>
      </c>
      <c r="Q109" s="97" t="s">
        <v>26</v>
      </c>
      <c r="R109" s="97" t="s">
        <v>26</v>
      </c>
      <c r="S109" s="97" t="s">
        <v>26</v>
      </c>
      <c r="T109" s="97" t="s">
        <v>26</v>
      </c>
      <c r="U109" s="95" t="s">
        <v>24</v>
      </c>
      <c r="V109" s="95" t="s">
        <v>24</v>
      </c>
      <c r="W109" s="97" t="s">
        <v>26</v>
      </c>
      <c r="X109" s="97" t="s">
        <v>26</v>
      </c>
      <c r="Y109" s="97" t="s">
        <v>26</v>
      </c>
      <c r="Z109" s="97" t="s">
        <v>26</v>
      </c>
      <c r="AA109" s="97" t="s">
        <v>26</v>
      </c>
      <c r="AB109" s="95" t="s">
        <v>24</v>
      </c>
      <c r="AC109" s="95" t="s">
        <v>24</v>
      </c>
      <c r="AD109" s="97" t="s">
        <v>26</v>
      </c>
      <c r="AE109" s="97" t="s">
        <v>26</v>
      </c>
      <c r="AF109" s="97" t="s">
        <v>26</v>
      </c>
      <c r="AG109" s="97" t="s">
        <v>26</v>
      </c>
      <c r="AH109" s="97" t="s">
        <v>26</v>
      </c>
      <c r="AI109" s="98">
        <f t="shared" si="11"/>
        <v>31</v>
      </c>
      <c r="AJ109" s="98">
        <f t="shared" si="13"/>
        <v>18</v>
      </c>
      <c r="AK109" s="98">
        <v>9</v>
      </c>
      <c r="AL109" s="98">
        <v>4</v>
      </c>
      <c r="AM109" s="98">
        <v>0</v>
      </c>
      <c r="AN109" s="98"/>
      <c r="AO109" s="98"/>
      <c r="AP109" s="98"/>
      <c r="AQ109" s="98"/>
      <c r="AR109" s="98"/>
      <c r="AS109" s="98">
        <f t="shared" si="12"/>
        <v>0</v>
      </c>
      <c r="AT109" s="99"/>
    </row>
    <row r="110" customFormat="1" ht="34" customHeight="1" spans="1:46">
      <c r="A110" s="92">
        <f t="shared" si="10"/>
        <v>107</v>
      </c>
      <c r="B110" s="93" t="s">
        <v>185</v>
      </c>
      <c r="C110" s="94" t="s">
        <v>173</v>
      </c>
      <c r="D110" s="95" t="s">
        <v>23</v>
      </c>
      <c r="E110" s="95" t="s">
        <v>23</v>
      </c>
      <c r="F110" s="95" t="s">
        <v>23</v>
      </c>
      <c r="G110" s="95" t="s">
        <v>24</v>
      </c>
      <c r="H110" s="95" t="s">
        <v>24</v>
      </c>
      <c r="I110" s="95" t="s">
        <v>23</v>
      </c>
      <c r="J110" s="95" t="s">
        <v>24</v>
      </c>
      <c r="K110" s="95" t="s">
        <v>24</v>
      </c>
      <c r="L110" s="97" t="s">
        <v>26</v>
      </c>
      <c r="M110" s="97" t="s">
        <v>26</v>
      </c>
      <c r="N110" s="100" t="s">
        <v>137</v>
      </c>
      <c r="O110" s="95" t="s">
        <v>24</v>
      </c>
      <c r="P110" s="97" t="s">
        <v>26</v>
      </c>
      <c r="Q110" s="100" t="s">
        <v>186</v>
      </c>
      <c r="R110" s="97" t="s">
        <v>26</v>
      </c>
      <c r="S110" s="97" t="s">
        <v>26</v>
      </c>
      <c r="T110" s="100" t="s">
        <v>137</v>
      </c>
      <c r="U110" s="95" t="s">
        <v>24</v>
      </c>
      <c r="V110" s="95" t="s">
        <v>24</v>
      </c>
      <c r="W110" s="100" t="s">
        <v>137</v>
      </c>
      <c r="X110" s="97" t="s">
        <v>26</v>
      </c>
      <c r="Y110" s="97" t="s">
        <v>26</v>
      </c>
      <c r="Z110" s="97" t="s">
        <v>26</v>
      </c>
      <c r="AA110" s="100" t="s">
        <v>51</v>
      </c>
      <c r="AB110" s="95" t="s">
        <v>24</v>
      </c>
      <c r="AC110" s="95" t="s">
        <v>24</v>
      </c>
      <c r="AD110" s="100" t="s">
        <v>187</v>
      </c>
      <c r="AE110" s="97" t="s">
        <v>26</v>
      </c>
      <c r="AF110" s="100" t="s">
        <v>124</v>
      </c>
      <c r="AG110" s="97" t="s">
        <v>26</v>
      </c>
      <c r="AH110" s="97" t="s">
        <v>26</v>
      </c>
      <c r="AI110" s="98">
        <f t="shared" si="11"/>
        <v>31</v>
      </c>
      <c r="AJ110" s="98">
        <f t="shared" si="13"/>
        <v>16.03</v>
      </c>
      <c r="AK110" s="98">
        <v>9</v>
      </c>
      <c r="AL110" s="98">
        <v>4</v>
      </c>
      <c r="AM110" s="98">
        <v>1.97</v>
      </c>
      <c r="AN110" s="98"/>
      <c r="AO110" s="98"/>
      <c r="AP110" s="98"/>
      <c r="AQ110" s="98"/>
      <c r="AR110" s="98"/>
      <c r="AS110" s="98">
        <f t="shared" si="12"/>
        <v>1.97</v>
      </c>
      <c r="AT110" s="99"/>
    </row>
    <row r="111" customFormat="1" ht="34" customHeight="1" spans="1:46">
      <c r="A111" s="92">
        <f t="shared" si="10"/>
        <v>108</v>
      </c>
      <c r="B111" s="93" t="s">
        <v>188</v>
      </c>
      <c r="C111" s="94" t="s">
        <v>173</v>
      </c>
      <c r="D111" s="95" t="s">
        <v>23</v>
      </c>
      <c r="E111" s="95" t="s">
        <v>23</v>
      </c>
      <c r="F111" s="95" t="s">
        <v>23</v>
      </c>
      <c r="G111" s="95" t="s">
        <v>24</v>
      </c>
      <c r="H111" s="95" t="s">
        <v>24</v>
      </c>
      <c r="I111" s="95" t="s">
        <v>23</v>
      </c>
      <c r="J111" s="95" t="s">
        <v>24</v>
      </c>
      <c r="K111" s="95" t="s">
        <v>24</v>
      </c>
      <c r="L111" s="97" t="s">
        <v>26</v>
      </c>
      <c r="M111" s="97" t="s">
        <v>26</v>
      </c>
      <c r="N111" s="100" t="s">
        <v>186</v>
      </c>
      <c r="O111" s="95" t="s">
        <v>24</v>
      </c>
      <c r="P111" s="97" t="s">
        <v>26</v>
      </c>
      <c r="Q111" s="97" t="s">
        <v>26</v>
      </c>
      <c r="R111" s="97" t="s">
        <v>26</v>
      </c>
      <c r="S111" s="97" t="s">
        <v>26</v>
      </c>
      <c r="T111" s="97" t="s">
        <v>26</v>
      </c>
      <c r="U111" s="95" t="s">
        <v>24</v>
      </c>
      <c r="V111" s="95" t="s">
        <v>24</v>
      </c>
      <c r="W111" s="97" t="s">
        <v>26</v>
      </c>
      <c r="X111" s="97" t="s">
        <v>26</v>
      </c>
      <c r="Y111" s="97" t="s">
        <v>26</v>
      </c>
      <c r="Z111" s="100" t="s">
        <v>189</v>
      </c>
      <c r="AA111" s="97" t="s">
        <v>26</v>
      </c>
      <c r="AB111" s="95" t="s">
        <v>24</v>
      </c>
      <c r="AC111" s="95" t="s">
        <v>24</v>
      </c>
      <c r="AD111" s="97" t="s">
        <v>26</v>
      </c>
      <c r="AE111" s="100" t="s">
        <v>27</v>
      </c>
      <c r="AF111" s="97" t="s">
        <v>26</v>
      </c>
      <c r="AG111" s="97" t="s">
        <v>26</v>
      </c>
      <c r="AH111" s="97" t="s">
        <v>26</v>
      </c>
      <c r="AI111" s="98">
        <f t="shared" si="11"/>
        <v>31</v>
      </c>
      <c r="AJ111" s="98">
        <f t="shared" si="13"/>
        <v>17.45</v>
      </c>
      <c r="AK111" s="98">
        <v>9</v>
      </c>
      <c r="AL111" s="98">
        <v>4</v>
      </c>
      <c r="AM111" s="98">
        <v>0.55</v>
      </c>
      <c r="AN111" s="98"/>
      <c r="AO111" s="98"/>
      <c r="AP111" s="98"/>
      <c r="AQ111" s="98"/>
      <c r="AR111" s="98"/>
      <c r="AS111" s="98">
        <f t="shared" si="12"/>
        <v>0.55</v>
      </c>
      <c r="AT111" s="99"/>
    </row>
    <row r="112" customFormat="1" ht="34" customHeight="1" spans="1:46">
      <c r="A112" s="92">
        <f t="shared" si="10"/>
        <v>109</v>
      </c>
      <c r="B112" s="93" t="s">
        <v>190</v>
      </c>
      <c r="C112" s="94" t="s">
        <v>173</v>
      </c>
      <c r="D112" s="95" t="s">
        <v>23</v>
      </c>
      <c r="E112" s="95" t="s">
        <v>23</v>
      </c>
      <c r="F112" s="95" t="s">
        <v>23</v>
      </c>
      <c r="G112" s="95" t="s">
        <v>24</v>
      </c>
      <c r="H112" s="95" t="s">
        <v>24</v>
      </c>
      <c r="I112" s="95" t="s">
        <v>23</v>
      </c>
      <c r="J112" s="95" t="s">
        <v>24</v>
      </c>
      <c r="K112" s="95" t="s">
        <v>24</v>
      </c>
      <c r="L112" s="100" t="s">
        <v>25</v>
      </c>
      <c r="M112" s="100" t="s">
        <v>25</v>
      </c>
      <c r="N112" s="100" t="s">
        <v>25</v>
      </c>
      <c r="O112" s="95" t="s">
        <v>24</v>
      </c>
      <c r="P112" s="97" t="s">
        <v>26</v>
      </c>
      <c r="Q112" s="97" t="s">
        <v>26</v>
      </c>
      <c r="R112" s="97" t="s">
        <v>26</v>
      </c>
      <c r="S112" s="97" t="s">
        <v>26</v>
      </c>
      <c r="T112" s="97" t="s">
        <v>26</v>
      </c>
      <c r="U112" s="95" t="s">
        <v>24</v>
      </c>
      <c r="V112" s="95" t="s">
        <v>24</v>
      </c>
      <c r="W112" s="97" t="s">
        <v>26</v>
      </c>
      <c r="X112" s="97" t="s">
        <v>26</v>
      </c>
      <c r="Y112" s="97" t="s">
        <v>26</v>
      </c>
      <c r="Z112" s="97" t="s">
        <v>26</v>
      </c>
      <c r="AA112" s="97" t="s">
        <v>26</v>
      </c>
      <c r="AB112" s="95" t="s">
        <v>24</v>
      </c>
      <c r="AC112" s="95" t="s">
        <v>24</v>
      </c>
      <c r="AD112" s="97" t="s">
        <v>26</v>
      </c>
      <c r="AE112" s="97" t="s">
        <v>26</v>
      </c>
      <c r="AF112" s="97" t="s">
        <v>26</v>
      </c>
      <c r="AG112" s="97" t="s">
        <v>26</v>
      </c>
      <c r="AH112" s="97" t="s">
        <v>26</v>
      </c>
      <c r="AI112" s="98">
        <f t="shared" si="11"/>
        <v>31</v>
      </c>
      <c r="AJ112" s="98">
        <f t="shared" si="13"/>
        <v>15</v>
      </c>
      <c r="AK112" s="98">
        <v>9</v>
      </c>
      <c r="AL112" s="98">
        <v>4</v>
      </c>
      <c r="AM112" s="98">
        <v>3</v>
      </c>
      <c r="AN112" s="98"/>
      <c r="AO112" s="98"/>
      <c r="AP112" s="98"/>
      <c r="AQ112" s="98"/>
      <c r="AR112" s="98"/>
      <c r="AS112" s="98">
        <f t="shared" si="12"/>
        <v>3</v>
      </c>
      <c r="AT112" s="99"/>
    </row>
    <row r="113" customFormat="1" ht="34" customHeight="1" spans="1:46">
      <c r="A113" s="92">
        <f t="shared" si="10"/>
        <v>110</v>
      </c>
      <c r="B113" s="93" t="s">
        <v>191</v>
      </c>
      <c r="C113" s="94" t="s">
        <v>173</v>
      </c>
      <c r="D113" s="95" t="s">
        <v>23</v>
      </c>
      <c r="E113" s="95" t="s">
        <v>23</v>
      </c>
      <c r="F113" s="95" t="s">
        <v>23</v>
      </c>
      <c r="G113" s="95" t="s">
        <v>24</v>
      </c>
      <c r="H113" s="95" t="s">
        <v>24</v>
      </c>
      <c r="I113" s="95" t="s">
        <v>23</v>
      </c>
      <c r="J113" s="95" t="s">
        <v>24</v>
      </c>
      <c r="K113" s="95" t="s">
        <v>24</v>
      </c>
      <c r="L113" s="97" t="s">
        <v>26</v>
      </c>
      <c r="M113" s="97" t="s">
        <v>26</v>
      </c>
      <c r="N113" s="97" t="s">
        <v>26</v>
      </c>
      <c r="O113" s="95" t="s">
        <v>24</v>
      </c>
      <c r="P113" s="97" t="s">
        <v>26</v>
      </c>
      <c r="Q113" s="97" t="s">
        <v>26</v>
      </c>
      <c r="R113" s="97" t="s">
        <v>26</v>
      </c>
      <c r="S113" s="97" t="s">
        <v>26</v>
      </c>
      <c r="T113" s="97" t="s">
        <v>26</v>
      </c>
      <c r="U113" s="95" t="s">
        <v>24</v>
      </c>
      <c r="V113" s="95" t="s">
        <v>24</v>
      </c>
      <c r="W113" s="97" t="s">
        <v>26</v>
      </c>
      <c r="X113" s="97" t="s">
        <v>26</v>
      </c>
      <c r="Y113" s="97" t="s">
        <v>26</v>
      </c>
      <c r="Z113" s="97" t="s">
        <v>26</v>
      </c>
      <c r="AA113" s="97" t="s">
        <v>26</v>
      </c>
      <c r="AB113" s="95" t="s">
        <v>24</v>
      </c>
      <c r="AC113" s="95" t="s">
        <v>24</v>
      </c>
      <c r="AD113" s="97" t="s">
        <v>26</v>
      </c>
      <c r="AE113" s="97" t="s">
        <v>26</v>
      </c>
      <c r="AF113" s="97" t="s">
        <v>26</v>
      </c>
      <c r="AG113" s="97" t="s">
        <v>26</v>
      </c>
      <c r="AH113" s="97" t="s">
        <v>26</v>
      </c>
      <c r="AI113" s="98">
        <f t="shared" si="11"/>
        <v>31</v>
      </c>
      <c r="AJ113" s="98">
        <f t="shared" si="13"/>
        <v>18</v>
      </c>
      <c r="AK113" s="98">
        <v>9</v>
      </c>
      <c r="AL113" s="98">
        <v>4</v>
      </c>
      <c r="AM113" s="98">
        <v>0</v>
      </c>
      <c r="AN113" s="98"/>
      <c r="AO113" s="98"/>
      <c r="AP113" s="98"/>
      <c r="AQ113" s="98"/>
      <c r="AR113" s="98"/>
      <c r="AS113" s="98">
        <f t="shared" si="12"/>
        <v>0</v>
      </c>
      <c r="AT113" s="99"/>
    </row>
    <row r="114" customFormat="1" ht="34" customHeight="1" spans="1:46">
      <c r="A114" s="92">
        <f t="shared" si="10"/>
        <v>111</v>
      </c>
      <c r="B114" s="93" t="s">
        <v>192</v>
      </c>
      <c r="C114" s="94" t="s">
        <v>193</v>
      </c>
      <c r="D114" s="95" t="s">
        <v>23</v>
      </c>
      <c r="E114" s="95" t="s">
        <v>23</v>
      </c>
      <c r="F114" s="95" t="s">
        <v>23</v>
      </c>
      <c r="G114" s="95" t="s">
        <v>24</v>
      </c>
      <c r="H114" s="95" t="s">
        <v>24</v>
      </c>
      <c r="I114" s="95" t="s">
        <v>23</v>
      </c>
      <c r="J114" s="95" t="s">
        <v>24</v>
      </c>
      <c r="K114" s="95" t="s">
        <v>24</v>
      </c>
      <c r="L114" s="97" t="s">
        <v>26</v>
      </c>
      <c r="M114" s="97" t="s">
        <v>26</v>
      </c>
      <c r="N114" s="97" t="s">
        <v>26</v>
      </c>
      <c r="O114" s="95" t="s">
        <v>24</v>
      </c>
      <c r="P114" s="97" t="s">
        <v>26</v>
      </c>
      <c r="Q114" s="97" t="s">
        <v>26</v>
      </c>
      <c r="R114" s="97" t="s">
        <v>26</v>
      </c>
      <c r="S114" s="97" t="s">
        <v>26</v>
      </c>
      <c r="T114" s="97" t="s">
        <v>26</v>
      </c>
      <c r="U114" s="95" t="s">
        <v>24</v>
      </c>
      <c r="V114" s="95" t="s">
        <v>24</v>
      </c>
      <c r="W114" s="97" t="s">
        <v>26</v>
      </c>
      <c r="X114" s="97" t="s">
        <v>26</v>
      </c>
      <c r="Y114" s="97" t="s">
        <v>26</v>
      </c>
      <c r="Z114" s="97" t="s">
        <v>26</v>
      </c>
      <c r="AA114" s="97" t="s">
        <v>26</v>
      </c>
      <c r="AB114" s="95" t="s">
        <v>24</v>
      </c>
      <c r="AC114" s="95" t="s">
        <v>24</v>
      </c>
      <c r="AD114" s="97" t="s">
        <v>26</v>
      </c>
      <c r="AE114" s="97" t="s">
        <v>26</v>
      </c>
      <c r="AF114" s="97" t="s">
        <v>26</v>
      </c>
      <c r="AG114" s="97" t="s">
        <v>26</v>
      </c>
      <c r="AH114" s="97" t="s">
        <v>26</v>
      </c>
      <c r="AI114" s="98">
        <f t="shared" si="11"/>
        <v>31</v>
      </c>
      <c r="AJ114" s="98">
        <f t="shared" si="13"/>
        <v>18</v>
      </c>
      <c r="AK114" s="98">
        <v>9</v>
      </c>
      <c r="AL114" s="98">
        <v>4</v>
      </c>
      <c r="AM114" s="98">
        <v>0</v>
      </c>
      <c r="AN114" s="98"/>
      <c r="AO114" s="98"/>
      <c r="AP114" s="98"/>
      <c r="AQ114" s="98"/>
      <c r="AR114" s="98"/>
      <c r="AS114" s="98">
        <f t="shared" si="12"/>
        <v>0</v>
      </c>
      <c r="AT114" s="99"/>
    </row>
    <row r="115" customFormat="1" ht="34" customHeight="1" spans="1:46">
      <c r="A115" s="92">
        <f t="shared" si="10"/>
        <v>112</v>
      </c>
      <c r="B115" s="93" t="s">
        <v>194</v>
      </c>
      <c r="C115" s="94" t="s">
        <v>193</v>
      </c>
      <c r="D115" s="95" t="s">
        <v>23</v>
      </c>
      <c r="E115" s="95" t="s">
        <v>23</v>
      </c>
      <c r="F115" s="95" t="s">
        <v>23</v>
      </c>
      <c r="G115" s="95" t="s">
        <v>24</v>
      </c>
      <c r="H115" s="95" t="s">
        <v>24</v>
      </c>
      <c r="I115" s="95" t="s">
        <v>23</v>
      </c>
      <c r="J115" s="95" t="s">
        <v>24</v>
      </c>
      <c r="K115" s="95" t="s">
        <v>24</v>
      </c>
      <c r="L115" s="97" t="s">
        <v>26</v>
      </c>
      <c r="M115" s="97" t="s">
        <v>26</v>
      </c>
      <c r="N115" s="97" t="s">
        <v>26</v>
      </c>
      <c r="O115" s="95" t="s">
        <v>24</v>
      </c>
      <c r="P115" s="97" t="s">
        <v>26</v>
      </c>
      <c r="Q115" s="97" t="s">
        <v>26</v>
      </c>
      <c r="R115" s="97" t="s">
        <v>26</v>
      </c>
      <c r="S115" s="97" t="s">
        <v>26</v>
      </c>
      <c r="T115" s="97" t="s">
        <v>26</v>
      </c>
      <c r="U115" s="95" t="s">
        <v>24</v>
      </c>
      <c r="V115" s="95" t="s">
        <v>24</v>
      </c>
      <c r="W115" s="97" t="s">
        <v>26</v>
      </c>
      <c r="X115" s="97" t="s">
        <v>26</v>
      </c>
      <c r="Y115" s="97" t="s">
        <v>26</v>
      </c>
      <c r="Z115" s="97" t="s">
        <v>26</v>
      </c>
      <c r="AA115" s="97" t="s">
        <v>26</v>
      </c>
      <c r="AB115" s="95" t="s">
        <v>24</v>
      </c>
      <c r="AC115" s="95" t="s">
        <v>24</v>
      </c>
      <c r="AD115" s="97" t="s">
        <v>26</v>
      </c>
      <c r="AE115" s="97" t="s">
        <v>26</v>
      </c>
      <c r="AF115" s="97" t="s">
        <v>26</v>
      </c>
      <c r="AG115" s="97" t="s">
        <v>26</v>
      </c>
      <c r="AH115" s="97" t="s">
        <v>26</v>
      </c>
      <c r="AI115" s="98">
        <f t="shared" si="11"/>
        <v>31</v>
      </c>
      <c r="AJ115" s="98">
        <f t="shared" si="13"/>
        <v>18</v>
      </c>
      <c r="AK115" s="98">
        <v>9</v>
      </c>
      <c r="AL115" s="98">
        <v>4</v>
      </c>
      <c r="AM115" s="98">
        <v>0</v>
      </c>
      <c r="AN115" s="98"/>
      <c r="AO115" s="98"/>
      <c r="AP115" s="98"/>
      <c r="AQ115" s="98"/>
      <c r="AR115" s="98"/>
      <c r="AS115" s="98">
        <f t="shared" si="12"/>
        <v>0</v>
      </c>
      <c r="AT115" s="99"/>
    </row>
    <row r="116" customFormat="1" ht="43" customHeight="1" spans="1:46">
      <c r="A116" s="92">
        <f t="shared" ref="A116:A179" si="14">ROW()-3</f>
        <v>113</v>
      </c>
      <c r="B116" s="93" t="s">
        <v>195</v>
      </c>
      <c r="C116" s="94" t="s">
        <v>193</v>
      </c>
      <c r="D116" s="95" t="s">
        <v>23</v>
      </c>
      <c r="E116" s="95" t="s">
        <v>23</v>
      </c>
      <c r="F116" s="95" t="s">
        <v>23</v>
      </c>
      <c r="G116" s="95" t="s">
        <v>24</v>
      </c>
      <c r="H116" s="95" t="s">
        <v>24</v>
      </c>
      <c r="I116" s="95" t="s">
        <v>23</v>
      </c>
      <c r="J116" s="95" t="s">
        <v>24</v>
      </c>
      <c r="K116" s="95" t="s">
        <v>24</v>
      </c>
      <c r="L116" s="97" t="s">
        <v>26</v>
      </c>
      <c r="M116" s="97" t="s">
        <v>26</v>
      </c>
      <c r="N116" s="97" t="s">
        <v>26</v>
      </c>
      <c r="O116" s="95" t="s">
        <v>24</v>
      </c>
      <c r="P116" s="97" t="s">
        <v>26</v>
      </c>
      <c r="Q116" s="97" t="s">
        <v>26</v>
      </c>
      <c r="R116" s="97" t="s">
        <v>26</v>
      </c>
      <c r="S116" s="97" t="s">
        <v>26</v>
      </c>
      <c r="T116" s="97" t="s">
        <v>26</v>
      </c>
      <c r="U116" s="95" t="s">
        <v>24</v>
      </c>
      <c r="V116" s="95" t="s">
        <v>24</v>
      </c>
      <c r="W116" s="97" t="s">
        <v>26</v>
      </c>
      <c r="X116" s="97" t="s">
        <v>26</v>
      </c>
      <c r="Y116" s="97" t="s">
        <v>26</v>
      </c>
      <c r="Z116" s="97" t="s">
        <v>26</v>
      </c>
      <c r="AA116" s="97" t="s">
        <v>26</v>
      </c>
      <c r="AB116" s="95" t="s">
        <v>24</v>
      </c>
      <c r="AC116" s="95" t="s">
        <v>24</v>
      </c>
      <c r="AD116" s="97" t="s">
        <v>26</v>
      </c>
      <c r="AE116" s="97" t="s">
        <v>26</v>
      </c>
      <c r="AF116" s="97" t="s">
        <v>26</v>
      </c>
      <c r="AG116" s="97" t="s">
        <v>26</v>
      </c>
      <c r="AH116" s="97" t="s">
        <v>26</v>
      </c>
      <c r="AI116" s="98">
        <f t="shared" si="11"/>
        <v>31</v>
      </c>
      <c r="AJ116" s="98">
        <f t="shared" si="13"/>
        <v>18</v>
      </c>
      <c r="AK116" s="98">
        <v>9</v>
      </c>
      <c r="AL116" s="98">
        <v>4</v>
      </c>
      <c r="AM116" s="98">
        <v>0</v>
      </c>
      <c r="AN116" s="98"/>
      <c r="AO116" s="98"/>
      <c r="AP116" s="98"/>
      <c r="AQ116" s="98"/>
      <c r="AR116" s="98"/>
      <c r="AS116" s="98">
        <f t="shared" si="12"/>
        <v>0</v>
      </c>
      <c r="AT116" s="99"/>
    </row>
    <row r="117" customFormat="1" ht="34" customHeight="1" spans="1:46">
      <c r="A117" s="92">
        <f t="shared" si="14"/>
        <v>114</v>
      </c>
      <c r="B117" s="93" t="s">
        <v>196</v>
      </c>
      <c r="C117" s="94" t="s">
        <v>193</v>
      </c>
      <c r="D117" s="95" t="s">
        <v>23</v>
      </c>
      <c r="E117" s="95" t="s">
        <v>23</v>
      </c>
      <c r="F117" s="95" t="s">
        <v>23</v>
      </c>
      <c r="G117" s="95" t="s">
        <v>24</v>
      </c>
      <c r="H117" s="95" t="s">
        <v>24</v>
      </c>
      <c r="I117" s="95" t="s">
        <v>23</v>
      </c>
      <c r="J117" s="95" t="s">
        <v>24</v>
      </c>
      <c r="K117" s="95" t="s">
        <v>24</v>
      </c>
      <c r="L117" s="97" t="s">
        <v>26</v>
      </c>
      <c r="M117" s="97" t="s">
        <v>26</v>
      </c>
      <c r="N117" s="97" t="s">
        <v>26</v>
      </c>
      <c r="O117" s="95" t="s">
        <v>24</v>
      </c>
      <c r="P117" s="97" t="s">
        <v>26</v>
      </c>
      <c r="Q117" s="97" t="s">
        <v>26</v>
      </c>
      <c r="R117" s="97" t="s">
        <v>26</v>
      </c>
      <c r="S117" s="97" t="s">
        <v>26</v>
      </c>
      <c r="T117" s="97" t="s">
        <v>26</v>
      </c>
      <c r="U117" s="95" t="s">
        <v>24</v>
      </c>
      <c r="V117" s="95" t="s">
        <v>24</v>
      </c>
      <c r="W117" s="97" t="s">
        <v>26</v>
      </c>
      <c r="X117" s="97" t="s">
        <v>26</v>
      </c>
      <c r="Y117" s="97" t="s">
        <v>26</v>
      </c>
      <c r="Z117" s="97" t="s">
        <v>26</v>
      </c>
      <c r="AA117" s="97" t="s">
        <v>26</v>
      </c>
      <c r="AB117" s="95" t="s">
        <v>24</v>
      </c>
      <c r="AC117" s="95" t="s">
        <v>24</v>
      </c>
      <c r="AD117" s="97" t="s">
        <v>26</v>
      </c>
      <c r="AE117" s="97" t="s">
        <v>26</v>
      </c>
      <c r="AF117" s="97" t="s">
        <v>26</v>
      </c>
      <c r="AG117" s="97" t="s">
        <v>26</v>
      </c>
      <c r="AH117" s="97" t="s">
        <v>26</v>
      </c>
      <c r="AI117" s="98">
        <f t="shared" si="11"/>
        <v>31</v>
      </c>
      <c r="AJ117" s="98">
        <f t="shared" si="13"/>
        <v>18</v>
      </c>
      <c r="AK117" s="98">
        <v>9</v>
      </c>
      <c r="AL117" s="98">
        <v>4</v>
      </c>
      <c r="AM117" s="98">
        <v>0</v>
      </c>
      <c r="AN117" s="98"/>
      <c r="AO117" s="98"/>
      <c r="AP117" s="98"/>
      <c r="AQ117" s="98"/>
      <c r="AR117" s="98"/>
      <c r="AS117" s="98">
        <f t="shared" si="12"/>
        <v>0</v>
      </c>
      <c r="AT117" s="99"/>
    </row>
    <row r="118" customFormat="1" ht="34" customHeight="1" spans="1:46">
      <c r="A118" s="92">
        <f t="shared" si="14"/>
        <v>115</v>
      </c>
      <c r="B118" s="93" t="s">
        <v>197</v>
      </c>
      <c r="C118" s="94" t="s">
        <v>193</v>
      </c>
      <c r="D118" s="95" t="s">
        <v>23</v>
      </c>
      <c r="E118" s="95" t="s">
        <v>23</v>
      </c>
      <c r="F118" s="95" t="s">
        <v>23</v>
      </c>
      <c r="G118" s="95" t="s">
        <v>24</v>
      </c>
      <c r="H118" s="95" t="s">
        <v>24</v>
      </c>
      <c r="I118" s="95" t="s">
        <v>23</v>
      </c>
      <c r="J118" s="95" t="s">
        <v>24</v>
      </c>
      <c r="K118" s="95" t="s">
        <v>24</v>
      </c>
      <c r="L118" s="97" t="s">
        <v>26</v>
      </c>
      <c r="M118" s="97" t="s">
        <v>26</v>
      </c>
      <c r="N118" s="97" t="s">
        <v>26</v>
      </c>
      <c r="O118" s="95" t="s">
        <v>24</v>
      </c>
      <c r="P118" s="97" t="s">
        <v>26</v>
      </c>
      <c r="Q118" s="97" t="s">
        <v>26</v>
      </c>
      <c r="R118" s="97" t="s">
        <v>26</v>
      </c>
      <c r="S118" s="97" t="s">
        <v>26</v>
      </c>
      <c r="T118" s="97" t="s">
        <v>26</v>
      </c>
      <c r="U118" s="95" t="s">
        <v>24</v>
      </c>
      <c r="V118" s="95" t="s">
        <v>24</v>
      </c>
      <c r="W118" s="97" t="s">
        <v>26</v>
      </c>
      <c r="X118" s="97" t="s">
        <v>26</v>
      </c>
      <c r="Y118" s="100" t="s">
        <v>137</v>
      </c>
      <c r="Z118" s="97" t="s">
        <v>26</v>
      </c>
      <c r="AA118" s="97" t="s">
        <v>26</v>
      </c>
      <c r="AB118" s="95" t="s">
        <v>24</v>
      </c>
      <c r="AC118" s="95" t="s">
        <v>24</v>
      </c>
      <c r="AD118" s="97" t="s">
        <v>26</v>
      </c>
      <c r="AE118" s="97" t="s">
        <v>26</v>
      </c>
      <c r="AF118" s="97" t="s">
        <v>26</v>
      </c>
      <c r="AG118" s="97" t="s">
        <v>26</v>
      </c>
      <c r="AH118" s="97" t="s">
        <v>26</v>
      </c>
      <c r="AI118" s="98">
        <f t="shared" si="11"/>
        <v>31</v>
      </c>
      <c r="AJ118" s="98">
        <f t="shared" si="13"/>
        <v>17.75</v>
      </c>
      <c r="AK118" s="98">
        <v>9</v>
      </c>
      <c r="AL118" s="98">
        <v>4</v>
      </c>
      <c r="AM118" s="98">
        <v>0.25</v>
      </c>
      <c r="AN118" s="98"/>
      <c r="AO118" s="98"/>
      <c r="AP118" s="98"/>
      <c r="AQ118" s="98"/>
      <c r="AR118" s="98"/>
      <c r="AS118" s="98">
        <f t="shared" si="12"/>
        <v>0.25</v>
      </c>
      <c r="AT118" s="99"/>
    </row>
    <row r="119" customFormat="1" ht="34" customHeight="1" spans="1:46">
      <c r="A119" s="92">
        <f t="shared" si="14"/>
        <v>116</v>
      </c>
      <c r="B119" s="93" t="s">
        <v>198</v>
      </c>
      <c r="C119" s="94" t="s">
        <v>193</v>
      </c>
      <c r="D119" s="95" t="s">
        <v>23</v>
      </c>
      <c r="E119" s="95" t="s">
        <v>23</v>
      </c>
      <c r="F119" s="95" t="s">
        <v>23</v>
      </c>
      <c r="G119" s="95" t="s">
        <v>24</v>
      </c>
      <c r="H119" s="95" t="s">
        <v>24</v>
      </c>
      <c r="I119" s="95" t="s">
        <v>23</v>
      </c>
      <c r="J119" s="95" t="s">
        <v>24</v>
      </c>
      <c r="K119" s="95" t="s">
        <v>24</v>
      </c>
      <c r="L119" s="97" t="s">
        <v>26</v>
      </c>
      <c r="M119" s="97" t="s">
        <v>26</v>
      </c>
      <c r="N119" s="97" t="s">
        <v>26</v>
      </c>
      <c r="O119" s="95" t="s">
        <v>24</v>
      </c>
      <c r="P119" s="97" t="s">
        <v>26</v>
      </c>
      <c r="Q119" s="97" t="s">
        <v>26</v>
      </c>
      <c r="R119" s="97" t="s">
        <v>26</v>
      </c>
      <c r="S119" s="97" t="s">
        <v>26</v>
      </c>
      <c r="T119" s="97" t="s">
        <v>26</v>
      </c>
      <c r="U119" s="95" t="s">
        <v>24</v>
      </c>
      <c r="V119" s="95" t="s">
        <v>24</v>
      </c>
      <c r="W119" s="97" t="s">
        <v>26</v>
      </c>
      <c r="X119" s="97" t="s">
        <v>26</v>
      </c>
      <c r="Y119" s="97" t="s">
        <v>26</v>
      </c>
      <c r="Z119" s="97" t="s">
        <v>26</v>
      </c>
      <c r="AA119" s="97" t="s">
        <v>26</v>
      </c>
      <c r="AB119" s="95" t="s">
        <v>24</v>
      </c>
      <c r="AC119" s="95" t="s">
        <v>24</v>
      </c>
      <c r="AD119" s="97" t="s">
        <v>26</v>
      </c>
      <c r="AE119" s="97" t="s">
        <v>26</v>
      </c>
      <c r="AF119" s="97" t="s">
        <v>26</v>
      </c>
      <c r="AG119" s="97" t="s">
        <v>26</v>
      </c>
      <c r="AH119" s="97" t="s">
        <v>26</v>
      </c>
      <c r="AI119" s="98">
        <f t="shared" si="11"/>
        <v>31</v>
      </c>
      <c r="AJ119" s="98">
        <f t="shared" si="13"/>
        <v>18</v>
      </c>
      <c r="AK119" s="98">
        <v>9</v>
      </c>
      <c r="AL119" s="98">
        <v>4</v>
      </c>
      <c r="AM119" s="98">
        <v>0</v>
      </c>
      <c r="AN119" s="98"/>
      <c r="AO119" s="98"/>
      <c r="AP119" s="98"/>
      <c r="AQ119" s="98"/>
      <c r="AR119" s="98"/>
      <c r="AS119" s="98">
        <f t="shared" si="12"/>
        <v>0</v>
      </c>
      <c r="AT119" s="99"/>
    </row>
    <row r="120" customFormat="1" ht="34" customHeight="1" spans="1:46">
      <c r="A120" s="92">
        <f t="shared" si="14"/>
        <v>117</v>
      </c>
      <c r="B120" s="93" t="s">
        <v>199</v>
      </c>
      <c r="C120" s="94" t="s">
        <v>193</v>
      </c>
      <c r="D120" s="95" t="s">
        <v>23</v>
      </c>
      <c r="E120" s="95" t="s">
        <v>23</v>
      </c>
      <c r="F120" s="95" t="s">
        <v>23</v>
      </c>
      <c r="G120" s="95" t="s">
        <v>24</v>
      </c>
      <c r="H120" s="95" t="s">
        <v>24</v>
      </c>
      <c r="I120" s="95" t="s">
        <v>23</v>
      </c>
      <c r="J120" s="95" t="s">
        <v>24</v>
      </c>
      <c r="K120" s="95" t="s">
        <v>24</v>
      </c>
      <c r="L120" s="97" t="s">
        <v>26</v>
      </c>
      <c r="M120" s="97" t="s">
        <v>26</v>
      </c>
      <c r="N120" s="97" t="s">
        <v>26</v>
      </c>
      <c r="O120" s="95" t="s">
        <v>24</v>
      </c>
      <c r="P120" s="97" t="s">
        <v>26</v>
      </c>
      <c r="Q120" s="97" t="s">
        <v>26</v>
      </c>
      <c r="R120" s="97" t="s">
        <v>26</v>
      </c>
      <c r="S120" s="97" t="s">
        <v>26</v>
      </c>
      <c r="T120" s="97" t="s">
        <v>26</v>
      </c>
      <c r="U120" s="95" t="s">
        <v>24</v>
      </c>
      <c r="V120" s="95" t="s">
        <v>24</v>
      </c>
      <c r="W120" s="97" t="s">
        <v>26</v>
      </c>
      <c r="X120" s="97" t="s">
        <v>26</v>
      </c>
      <c r="Y120" s="97" t="s">
        <v>26</v>
      </c>
      <c r="Z120" s="97" t="s">
        <v>26</v>
      </c>
      <c r="AA120" s="97" t="s">
        <v>26</v>
      </c>
      <c r="AB120" s="95" t="s">
        <v>24</v>
      </c>
      <c r="AC120" s="95" t="s">
        <v>24</v>
      </c>
      <c r="AD120" s="97" t="s">
        <v>26</v>
      </c>
      <c r="AE120" s="97" t="s">
        <v>26</v>
      </c>
      <c r="AF120" s="97" t="s">
        <v>26</v>
      </c>
      <c r="AG120" s="97" t="s">
        <v>26</v>
      </c>
      <c r="AH120" s="97" t="s">
        <v>26</v>
      </c>
      <c r="AI120" s="98">
        <f t="shared" si="11"/>
        <v>31</v>
      </c>
      <c r="AJ120" s="98">
        <f t="shared" si="13"/>
        <v>18</v>
      </c>
      <c r="AK120" s="98">
        <v>9</v>
      </c>
      <c r="AL120" s="98">
        <v>4</v>
      </c>
      <c r="AM120" s="98">
        <v>0</v>
      </c>
      <c r="AN120" s="98"/>
      <c r="AO120" s="98"/>
      <c r="AP120" s="98"/>
      <c r="AQ120" s="98"/>
      <c r="AR120" s="98"/>
      <c r="AS120" s="98">
        <f t="shared" si="12"/>
        <v>0</v>
      </c>
      <c r="AT120" s="99"/>
    </row>
    <row r="121" customFormat="1" ht="34" customHeight="1" spans="1:46">
      <c r="A121" s="92">
        <f t="shared" si="14"/>
        <v>118</v>
      </c>
      <c r="B121" s="93" t="s">
        <v>200</v>
      </c>
      <c r="C121" s="94" t="s">
        <v>193</v>
      </c>
      <c r="D121" s="95" t="s">
        <v>23</v>
      </c>
      <c r="E121" s="95" t="s">
        <v>23</v>
      </c>
      <c r="F121" s="95" t="s">
        <v>23</v>
      </c>
      <c r="G121" s="95" t="s">
        <v>24</v>
      </c>
      <c r="H121" s="95" t="s">
        <v>24</v>
      </c>
      <c r="I121" s="95" t="s">
        <v>23</v>
      </c>
      <c r="J121" s="95" t="s">
        <v>24</v>
      </c>
      <c r="K121" s="95" t="s">
        <v>24</v>
      </c>
      <c r="L121" s="97" t="s">
        <v>26</v>
      </c>
      <c r="M121" s="97" t="s">
        <v>26</v>
      </c>
      <c r="N121" s="97" t="s">
        <v>26</v>
      </c>
      <c r="O121" s="95" t="s">
        <v>24</v>
      </c>
      <c r="P121" s="97" t="s">
        <v>26</v>
      </c>
      <c r="Q121" s="97" t="s">
        <v>26</v>
      </c>
      <c r="R121" s="97" t="s">
        <v>26</v>
      </c>
      <c r="S121" s="97" t="s">
        <v>26</v>
      </c>
      <c r="T121" s="97" t="s">
        <v>26</v>
      </c>
      <c r="U121" s="95" t="s">
        <v>24</v>
      </c>
      <c r="V121" s="95" t="s">
        <v>24</v>
      </c>
      <c r="W121" s="97" t="s">
        <v>26</v>
      </c>
      <c r="X121" s="97" t="s">
        <v>26</v>
      </c>
      <c r="Y121" s="97" t="s">
        <v>26</v>
      </c>
      <c r="Z121" s="97" t="s">
        <v>26</v>
      </c>
      <c r="AA121" s="97" t="s">
        <v>26</v>
      </c>
      <c r="AB121" s="95" t="s">
        <v>24</v>
      </c>
      <c r="AC121" s="95" t="s">
        <v>24</v>
      </c>
      <c r="AD121" s="97" t="s">
        <v>26</v>
      </c>
      <c r="AE121" s="97" t="s">
        <v>26</v>
      </c>
      <c r="AF121" s="97" t="s">
        <v>26</v>
      </c>
      <c r="AG121" s="97" t="s">
        <v>26</v>
      </c>
      <c r="AH121" s="97" t="s">
        <v>26</v>
      </c>
      <c r="AI121" s="98">
        <f t="shared" si="11"/>
        <v>31</v>
      </c>
      <c r="AJ121" s="98">
        <f t="shared" si="13"/>
        <v>18</v>
      </c>
      <c r="AK121" s="98">
        <v>9</v>
      </c>
      <c r="AL121" s="98">
        <v>4</v>
      </c>
      <c r="AM121" s="98">
        <v>0</v>
      </c>
      <c r="AN121" s="98"/>
      <c r="AO121" s="98"/>
      <c r="AP121" s="98"/>
      <c r="AQ121" s="98"/>
      <c r="AR121" s="98"/>
      <c r="AS121" s="98">
        <f t="shared" si="12"/>
        <v>0</v>
      </c>
      <c r="AT121" s="99"/>
    </row>
    <row r="122" customFormat="1" ht="34" customHeight="1" spans="1:46">
      <c r="A122" s="92">
        <f t="shared" si="14"/>
        <v>119</v>
      </c>
      <c r="B122" s="93" t="s">
        <v>201</v>
      </c>
      <c r="C122" s="94" t="s">
        <v>193</v>
      </c>
      <c r="D122" s="95" t="s">
        <v>23</v>
      </c>
      <c r="E122" s="95" t="s">
        <v>23</v>
      </c>
      <c r="F122" s="95" t="s">
        <v>23</v>
      </c>
      <c r="G122" s="95" t="s">
        <v>24</v>
      </c>
      <c r="H122" s="95" t="s">
        <v>24</v>
      </c>
      <c r="I122" s="95" t="s">
        <v>23</v>
      </c>
      <c r="J122" s="95" t="s">
        <v>24</v>
      </c>
      <c r="K122" s="95" t="s">
        <v>24</v>
      </c>
      <c r="L122" s="97" t="s">
        <v>26</v>
      </c>
      <c r="M122" s="97" t="s">
        <v>26</v>
      </c>
      <c r="N122" s="97" t="s">
        <v>26</v>
      </c>
      <c r="O122" s="95" t="s">
        <v>24</v>
      </c>
      <c r="P122" s="97" t="s">
        <v>26</v>
      </c>
      <c r="Q122" s="97" t="s">
        <v>26</v>
      </c>
      <c r="R122" s="97" t="s">
        <v>26</v>
      </c>
      <c r="S122" s="97" t="s">
        <v>26</v>
      </c>
      <c r="T122" s="97" t="s">
        <v>26</v>
      </c>
      <c r="U122" s="95" t="s">
        <v>24</v>
      </c>
      <c r="V122" s="95" t="s">
        <v>24</v>
      </c>
      <c r="W122" s="97" t="s">
        <v>26</v>
      </c>
      <c r="X122" s="97" t="s">
        <v>26</v>
      </c>
      <c r="Y122" s="97" t="s">
        <v>26</v>
      </c>
      <c r="Z122" s="97" t="s">
        <v>26</v>
      </c>
      <c r="AA122" s="97" t="s">
        <v>26</v>
      </c>
      <c r="AB122" s="95" t="s">
        <v>24</v>
      </c>
      <c r="AC122" s="95" t="s">
        <v>24</v>
      </c>
      <c r="AD122" s="97" t="s">
        <v>26</v>
      </c>
      <c r="AE122" s="97" t="s">
        <v>26</v>
      </c>
      <c r="AF122" s="97" t="s">
        <v>26</v>
      </c>
      <c r="AG122" s="97" t="s">
        <v>26</v>
      </c>
      <c r="AH122" s="97" t="s">
        <v>26</v>
      </c>
      <c r="AI122" s="98">
        <f t="shared" si="11"/>
        <v>31</v>
      </c>
      <c r="AJ122" s="98">
        <f t="shared" si="13"/>
        <v>18</v>
      </c>
      <c r="AK122" s="98">
        <v>9</v>
      </c>
      <c r="AL122" s="98">
        <v>4</v>
      </c>
      <c r="AM122" s="98">
        <v>0</v>
      </c>
      <c r="AN122" s="98"/>
      <c r="AO122" s="98"/>
      <c r="AP122" s="98"/>
      <c r="AQ122" s="98"/>
      <c r="AR122" s="98"/>
      <c r="AS122" s="98">
        <f t="shared" si="12"/>
        <v>0</v>
      </c>
      <c r="AT122" s="99"/>
    </row>
    <row r="123" customFormat="1" ht="34" customHeight="1" spans="1:46">
      <c r="A123" s="92">
        <f t="shared" si="14"/>
        <v>120</v>
      </c>
      <c r="B123" s="93" t="s">
        <v>202</v>
      </c>
      <c r="C123" s="94" t="s">
        <v>193</v>
      </c>
      <c r="D123" s="95" t="s">
        <v>23</v>
      </c>
      <c r="E123" s="95" t="s">
        <v>23</v>
      </c>
      <c r="F123" s="95" t="s">
        <v>23</v>
      </c>
      <c r="G123" s="95" t="s">
        <v>24</v>
      </c>
      <c r="H123" s="95" t="s">
        <v>24</v>
      </c>
      <c r="I123" s="95" t="s">
        <v>23</v>
      </c>
      <c r="J123" s="95" t="s">
        <v>24</v>
      </c>
      <c r="K123" s="95" t="s">
        <v>24</v>
      </c>
      <c r="L123" s="100" t="s">
        <v>124</v>
      </c>
      <c r="M123" s="97" t="s">
        <v>26</v>
      </c>
      <c r="N123" s="97" t="s">
        <v>26</v>
      </c>
      <c r="O123" s="95" t="s">
        <v>24</v>
      </c>
      <c r="P123" s="97" t="s">
        <v>26</v>
      </c>
      <c r="Q123" s="97" t="s">
        <v>26</v>
      </c>
      <c r="R123" s="97" t="s">
        <v>26</v>
      </c>
      <c r="S123" s="97" t="s">
        <v>26</v>
      </c>
      <c r="T123" s="97" t="s">
        <v>26</v>
      </c>
      <c r="U123" s="95" t="s">
        <v>24</v>
      </c>
      <c r="V123" s="95" t="s">
        <v>24</v>
      </c>
      <c r="W123" s="97" t="s">
        <v>26</v>
      </c>
      <c r="X123" s="97" t="s">
        <v>26</v>
      </c>
      <c r="Y123" s="97" t="s">
        <v>26</v>
      </c>
      <c r="Z123" s="97" t="s">
        <v>26</v>
      </c>
      <c r="AA123" s="97" t="s">
        <v>26</v>
      </c>
      <c r="AB123" s="95" t="s">
        <v>24</v>
      </c>
      <c r="AC123" s="95" t="s">
        <v>24</v>
      </c>
      <c r="AD123" s="97" t="s">
        <v>26</v>
      </c>
      <c r="AE123" s="97" t="s">
        <v>26</v>
      </c>
      <c r="AF123" s="97" t="s">
        <v>26</v>
      </c>
      <c r="AG123" s="97" t="s">
        <v>26</v>
      </c>
      <c r="AH123" s="97" t="s">
        <v>26</v>
      </c>
      <c r="AI123" s="98">
        <f t="shared" si="11"/>
        <v>31</v>
      </c>
      <c r="AJ123" s="98">
        <f t="shared" si="13"/>
        <v>17.62</v>
      </c>
      <c r="AK123" s="98">
        <v>9</v>
      </c>
      <c r="AL123" s="98">
        <v>4</v>
      </c>
      <c r="AM123" s="98">
        <v>0.38</v>
      </c>
      <c r="AN123" s="98"/>
      <c r="AO123" s="98"/>
      <c r="AP123" s="98"/>
      <c r="AQ123" s="98"/>
      <c r="AR123" s="98"/>
      <c r="AS123" s="98">
        <f t="shared" si="12"/>
        <v>0.38</v>
      </c>
      <c r="AT123" s="99"/>
    </row>
    <row r="124" customFormat="1" ht="34" customHeight="1" spans="1:46">
      <c r="A124" s="92">
        <f t="shared" si="14"/>
        <v>121</v>
      </c>
      <c r="B124" s="93" t="s">
        <v>203</v>
      </c>
      <c r="C124" s="94" t="s">
        <v>193</v>
      </c>
      <c r="D124" s="95" t="s">
        <v>23</v>
      </c>
      <c r="E124" s="95" t="s">
        <v>23</v>
      </c>
      <c r="F124" s="95" t="s">
        <v>23</v>
      </c>
      <c r="G124" s="95" t="s">
        <v>24</v>
      </c>
      <c r="H124" s="95" t="s">
        <v>24</v>
      </c>
      <c r="I124" s="95" t="s">
        <v>23</v>
      </c>
      <c r="J124" s="95" t="s">
        <v>24</v>
      </c>
      <c r="K124" s="95" t="s">
        <v>24</v>
      </c>
      <c r="L124" s="97" t="s">
        <v>26</v>
      </c>
      <c r="M124" s="97" t="s">
        <v>26</v>
      </c>
      <c r="N124" s="97" t="s">
        <v>26</v>
      </c>
      <c r="O124" s="95" t="s">
        <v>24</v>
      </c>
      <c r="P124" s="97" t="s">
        <v>26</v>
      </c>
      <c r="Q124" s="97" t="s">
        <v>26</v>
      </c>
      <c r="R124" s="97" t="s">
        <v>26</v>
      </c>
      <c r="S124" s="97" t="s">
        <v>26</v>
      </c>
      <c r="T124" s="97" t="s">
        <v>26</v>
      </c>
      <c r="U124" s="95" t="s">
        <v>24</v>
      </c>
      <c r="V124" s="95" t="s">
        <v>24</v>
      </c>
      <c r="W124" s="97" t="s">
        <v>26</v>
      </c>
      <c r="X124" s="97" t="s">
        <v>26</v>
      </c>
      <c r="Y124" s="97" t="s">
        <v>26</v>
      </c>
      <c r="Z124" s="97" t="s">
        <v>26</v>
      </c>
      <c r="AA124" s="97" t="s">
        <v>26</v>
      </c>
      <c r="AB124" s="95" t="s">
        <v>24</v>
      </c>
      <c r="AC124" s="95" t="s">
        <v>24</v>
      </c>
      <c r="AD124" s="97" t="s">
        <v>26</v>
      </c>
      <c r="AE124" s="97" t="s">
        <v>26</v>
      </c>
      <c r="AF124" s="97" t="s">
        <v>26</v>
      </c>
      <c r="AG124" s="97" t="s">
        <v>26</v>
      </c>
      <c r="AH124" s="97" t="s">
        <v>26</v>
      </c>
      <c r="AI124" s="98">
        <f t="shared" si="11"/>
        <v>31</v>
      </c>
      <c r="AJ124" s="98">
        <f t="shared" si="13"/>
        <v>18</v>
      </c>
      <c r="AK124" s="98">
        <v>9</v>
      </c>
      <c r="AL124" s="98">
        <v>4</v>
      </c>
      <c r="AM124" s="98">
        <v>0</v>
      </c>
      <c r="AN124" s="98"/>
      <c r="AO124" s="98"/>
      <c r="AP124" s="98"/>
      <c r="AQ124" s="98"/>
      <c r="AR124" s="98"/>
      <c r="AS124" s="98">
        <f t="shared" si="12"/>
        <v>0</v>
      </c>
      <c r="AT124" s="99"/>
    </row>
    <row r="125" customFormat="1" ht="34" customHeight="1" spans="1:46">
      <c r="A125" s="92">
        <f t="shared" si="14"/>
        <v>122</v>
      </c>
      <c r="B125" s="93" t="s">
        <v>204</v>
      </c>
      <c r="C125" s="94" t="s">
        <v>193</v>
      </c>
      <c r="D125" s="95" t="s">
        <v>23</v>
      </c>
      <c r="E125" s="95" t="s">
        <v>23</v>
      </c>
      <c r="F125" s="95" t="s">
        <v>23</v>
      </c>
      <c r="G125" s="95" t="s">
        <v>24</v>
      </c>
      <c r="H125" s="95" t="s">
        <v>24</v>
      </c>
      <c r="I125" s="95" t="s">
        <v>23</v>
      </c>
      <c r="J125" s="95" t="s">
        <v>24</v>
      </c>
      <c r="K125" s="95" t="s">
        <v>24</v>
      </c>
      <c r="L125" s="100" t="s">
        <v>25</v>
      </c>
      <c r="M125" s="100" t="s">
        <v>124</v>
      </c>
      <c r="N125" s="97" t="s">
        <v>26</v>
      </c>
      <c r="O125" s="95" t="s">
        <v>24</v>
      </c>
      <c r="P125" s="97" t="s">
        <v>26</v>
      </c>
      <c r="Q125" s="97" t="s">
        <v>26</v>
      </c>
      <c r="R125" s="97" t="s">
        <v>26</v>
      </c>
      <c r="S125" s="97" t="s">
        <v>26</v>
      </c>
      <c r="T125" s="97" t="s">
        <v>26</v>
      </c>
      <c r="U125" s="95" t="s">
        <v>24</v>
      </c>
      <c r="V125" s="95" t="s">
        <v>24</v>
      </c>
      <c r="W125" s="97" t="s">
        <v>26</v>
      </c>
      <c r="X125" s="97" t="s">
        <v>26</v>
      </c>
      <c r="Y125" s="97" t="s">
        <v>26</v>
      </c>
      <c r="Z125" s="97" t="s">
        <v>26</v>
      </c>
      <c r="AA125" s="97" t="s">
        <v>26</v>
      </c>
      <c r="AB125" s="95" t="s">
        <v>24</v>
      </c>
      <c r="AC125" s="95" t="s">
        <v>24</v>
      </c>
      <c r="AD125" s="97" t="s">
        <v>26</v>
      </c>
      <c r="AE125" s="97" t="s">
        <v>26</v>
      </c>
      <c r="AF125" s="97" t="s">
        <v>26</v>
      </c>
      <c r="AG125" s="97" t="s">
        <v>26</v>
      </c>
      <c r="AH125" s="97" t="s">
        <v>26</v>
      </c>
      <c r="AI125" s="98">
        <f t="shared" si="11"/>
        <v>31</v>
      </c>
      <c r="AJ125" s="98">
        <f t="shared" si="13"/>
        <v>16.62</v>
      </c>
      <c r="AK125" s="98">
        <v>9</v>
      </c>
      <c r="AL125" s="98">
        <v>4</v>
      </c>
      <c r="AM125" s="98">
        <v>1.38</v>
      </c>
      <c r="AN125" s="98"/>
      <c r="AO125" s="98"/>
      <c r="AP125" s="98"/>
      <c r="AQ125" s="98"/>
      <c r="AR125" s="98"/>
      <c r="AS125" s="98">
        <f t="shared" si="12"/>
        <v>1.38</v>
      </c>
      <c r="AT125" s="99"/>
    </row>
    <row r="126" customFormat="1" ht="34" customHeight="1" spans="1:46">
      <c r="A126" s="92">
        <f t="shared" si="14"/>
        <v>123</v>
      </c>
      <c r="B126" s="93" t="s">
        <v>205</v>
      </c>
      <c r="C126" s="94" t="s">
        <v>193</v>
      </c>
      <c r="D126" s="95" t="s">
        <v>23</v>
      </c>
      <c r="E126" s="95" t="s">
        <v>23</v>
      </c>
      <c r="F126" s="95" t="s">
        <v>23</v>
      </c>
      <c r="G126" s="95" t="s">
        <v>24</v>
      </c>
      <c r="H126" s="95" t="s">
        <v>24</v>
      </c>
      <c r="I126" s="95" t="s">
        <v>23</v>
      </c>
      <c r="J126" s="95" t="s">
        <v>24</v>
      </c>
      <c r="K126" s="95" t="s">
        <v>24</v>
      </c>
      <c r="L126" s="97" t="s">
        <v>26</v>
      </c>
      <c r="M126" s="97" t="s">
        <v>26</v>
      </c>
      <c r="N126" s="97" t="s">
        <v>26</v>
      </c>
      <c r="O126" s="95" t="s">
        <v>24</v>
      </c>
      <c r="P126" s="97" t="s">
        <v>26</v>
      </c>
      <c r="Q126" s="97" t="s">
        <v>26</v>
      </c>
      <c r="R126" s="97" t="s">
        <v>26</v>
      </c>
      <c r="S126" s="97" t="s">
        <v>26</v>
      </c>
      <c r="T126" s="97" t="s">
        <v>26</v>
      </c>
      <c r="U126" s="95" t="s">
        <v>24</v>
      </c>
      <c r="V126" s="95" t="s">
        <v>24</v>
      </c>
      <c r="W126" s="97" t="s">
        <v>26</v>
      </c>
      <c r="X126" s="97" t="s">
        <v>26</v>
      </c>
      <c r="Y126" s="97" t="s">
        <v>26</v>
      </c>
      <c r="Z126" s="97" t="s">
        <v>26</v>
      </c>
      <c r="AA126" s="97" t="s">
        <v>26</v>
      </c>
      <c r="AB126" s="95" t="s">
        <v>24</v>
      </c>
      <c r="AC126" s="95" t="s">
        <v>24</v>
      </c>
      <c r="AD126" s="97" t="s">
        <v>26</v>
      </c>
      <c r="AE126" s="97" t="s">
        <v>26</v>
      </c>
      <c r="AF126" s="97" t="s">
        <v>26</v>
      </c>
      <c r="AG126" s="97" t="s">
        <v>26</v>
      </c>
      <c r="AH126" s="97" t="s">
        <v>26</v>
      </c>
      <c r="AI126" s="98">
        <f t="shared" si="11"/>
        <v>31</v>
      </c>
      <c r="AJ126" s="98">
        <f t="shared" si="13"/>
        <v>18</v>
      </c>
      <c r="AK126" s="98">
        <v>9</v>
      </c>
      <c r="AL126" s="98">
        <v>4</v>
      </c>
      <c r="AM126" s="98">
        <v>0</v>
      </c>
      <c r="AN126" s="98"/>
      <c r="AO126" s="98"/>
      <c r="AP126" s="98"/>
      <c r="AQ126" s="98"/>
      <c r="AR126" s="98"/>
      <c r="AS126" s="98">
        <f t="shared" si="12"/>
        <v>0</v>
      </c>
      <c r="AT126" s="99"/>
    </row>
    <row r="127" customFormat="1" ht="34" customHeight="1" spans="1:46">
      <c r="A127" s="92">
        <f t="shared" si="14"/>
        <v>124</v>
      </c>
      <c r="B127" s="93" t="s">
        <v>206</v>
      </c>
      <c r="C127" s="94" t="s">
        <v>207</v>
      </c>
      <c r="D127" s="95" t="s">
        <v>23</v>
      </c>
      <c r="E127" s="95" t="s">
        <v>23</v>
      </c>
      <c r="F127" s="95" t="s">
        <v>23</v>
      </c>
      <c r="G127" s="95" t="s">
        <v>24</v>
      </c>
      <c r="H127" s="95" t="s">
        <v>24</v>
      </c>
      <c r="I127" s="95" t="s">
        <v>23</v>
      </c>
      <c r="J127" s="95" t="s">
        <v>24</v>
      </c>
      <c r="K127" s="95" t="s">
        <v>24</v>
      </c>
      <c r="L127" s="97" t="s">
        <v>26</v>
      </c>
      <c r="M127" s="97" t="s">
        <v>26</v>
      </c>
      <c r="N127" s="97" t="s">
        <v>26</v>
      </c>
      <c r="O127" s="95" t="s">
        <v>24</v>
      </c>
      <c r="P127" s="97" t="s">
        <v>26</v>
      </c>
      <c r="Q127" s="97" t="s">
        <v>26</v>
      </c>
      <c r="R127" s="97" t="s">
        <v>26</v>
      </c>
      <c r="S127" s="97" t="s">
        <v>26</v>
      </c>
      <c r="T127" s="97" t="s">
        <v>26</v>
      </c>
      <c r="U127" s="95" t="s">
        <v>24</v>
      </c>
      <c r="V127" s="95" t="s">
        <v>24</v>
      </c>
      <c r="W127" s="97" t="s">
        <v>26</v>
      </c>
      <c r="X127" s="97" t="s">
        <v>26</v>
      </c>
      <c r="Y127" s="97" t="s">
        <v>26</v>
      </c>
      <c r="Z127" s="97" t="s">
        <v>26</v>
      </c>
      <c r="AA127" s="97" t="s">
        <v>26</v>
      </c>
      <c r="AB127" s="95" t="s">
        <v>24</v>
      </c>
      <c r="AC127" s="95" t="s">
        <v>24</v>
      </c>
      <c r="AD127" s="97" t="s">
        <v>26</v>
      </c>
      <c r="AE127" s="97" t="s">
        <v>26</v>
      </c>
      <c r="AF127" s="97" t="s">
        <v>26</v>
      </c>
      <c r="AG127" s="97" t="s">
        <v>26</v>
      </c>
      <c r="AH127" s="97" t="s">
        <v>26</v>
      </c>
      <c r="AI127" s="98">
        <f t="shared" si="11"/>
        <v>31</v>
      </c>
      <c r="AJ127" s="98">
        <f t="shared" si="13"/>
        <v>18</v>
      </c>
      <c r="AK127" s="98">
        <v>9</v>
      </c>
      <c r="AL127" s="98">
        <v>4</v>
      </c>
      <c r="AM127" s="98">
        <v>0</v>
      </c>
      <c r="AN127" s="98"/>
      <c r="AO127" s="98"/>
      <c r="AP127" s="98"/>
      <c r="AQ127" s="98"/>
      <c r="AR127" s="98"/>
      <c r="AS127" s="98">
        <f t="shared" si="12"/>
        <v>0</v>
      </c>
      <c r="AT127" s="99"/>
    </row>
    <row r="128" customFormat="1" ht="34" customHeight="1" spans="1:46">
      <c r="A128" s="92">
        <f t="shared" si="14"/>
        <v>125</v>
      </c>
      <c r="B128" s="93" t="s">
        <v>208</v>
      </c>
      <c r="C128" s="94" t="s">
        <v>209</v>
      </c>
      <c r="D128" s="95" t="s">
        <v>23</v>
      </c>
      <c r="E128" s="95" t="s">
        <v>23</v>
      </c>
      <c r="F128" s="95" t="s">
        <v>23</v>
      </c>
      <c r="G128" s="95" t="s">
        <v>24</v>
      </c>
      <c r="H128" s="95" t="s">
        <v>24</v>
      </c>
      <c r="I128" s="95" t="s">
        <v>23</v>
      </c>
      <c r="J128" s="95" t="s">
        <v>24</v>
      </c>
      <c r="K128" s="95" t="s">
        <v>24</v>
      </c>
      <c r="L128" s="97" t="s">
        <v>26</v>
      </c>
      <c r="M128" s="97" t="s">
        <v>26</v>
      </c>
      <c r="N128" s="97" t="s">
        <v>26</v>
      </c>
      <c r="O128" s="95" t="s">
        <v>24</v>
      </c>
      <c r="P128" s="97" t="s">
        <v>26</v>
      </c>
      <c r="Q128" s="97" t="s">
        <v>26</v>
      </c>
      <c r="R128" s="97" t="s">
        <v>26</v>
      </c>
      <c r="S128" s="97" t="s">
        <v>26</v>
      </c>
      <c r="T128" s="97" t="s">
        <v>26</v>
      </c>
      <c r="U128" s="95" t="s">
        <v>24</v>
      </c>
      <c r="V128" s="95" t="s">
        <v>24</v>
      </c>
      <c r="W128" s="97" t="s">
        <v>26</v>
      </c>
      <c r="X128" s="97" t="s">
        <v>26</v>
      </c>
      <c r="Y128" s="97" t="s">
        <v>26</v>
      </c>
      <c r="Z128" s="97" t="s">
        <v>26</v>
      </c>
      <c r="AA128" s="97" t="s">
        <v>26</v>
      </c>
      <c r="AB128" s="95" t="s">
        <v>24</v>
      </c>
      <c r="AC128" s="95" t="s">
        <v>24</v>
      </c>
      <c r="AD128" s="97" t="s">
        <v>26</v>
      </c>
      <c r="AE128" s="97" t="s">
        <v>26</v>
      </c>
      <c r="AF128" s="97" t="s">
        <v>26</v>
      </c>
      <c r="AG128" s="97" t="s">
        <v>26</v>
      </c>
      <c r="AH128" s="97" t="s">
        <v>26</v>
      </c>
      <c r="AI128" s="98">
        <f t="shared" si="11"/>
        <v>31</v>
      </c>
      <c r="AJ128" s="98">
        <f t="shared" si="13"/>
        <v>18</v>
      </c>
      <c r="AK128" s="98">
        <v>9</v>
      </c>
      <c r="AL128" s="98">
        <v>4</v>
      </c>
      <c r="AM128" s="98">
        <v>0</v>
      </c>
      <c r="AN128" s="98"/>
      <c r="AO128" s="98"/>
      <c r="AP128" s="98"/>
      <c r="AQ128" s="98"/>
      <c r="AR128" s="98"/>
      <c r="AS128" s="98">
        <f t="shared" si="12"/>
        <v>0</v>
      </c>
      <c r="AT128" s="99"/>
    </row>
    <row r="129" customFormat="1" ht="34" customHeight="1" spans="1:46">
      <c r="A129" s="92">
        <f t="shared" si="14"/>
        <v>126</v>
      </c>
      <c r="B129" s="93" t="s">
        <v>210</v>
      </c>
      <c r="C129" s="94" t="s">
        <v>209</v>
      </c>
      <c r="D129" s="95" t="s">
        <v>23</v>
      </c>
      <c r="E129" s="95" t="s">
        <v>23</v>
      </c>
      <c r="F129" s="95" t="s">
        <v>23</v>
      </c>
      <c r="G129" s="95" t="s">
        <v>24</v>
      </c>
      <c r="H129" s="95" t="s">
        <v>24</v>
      </c>
      <c r="I129" s="95" t="s">
        <v>23</v>
      </c>
      <c r="J129" s="95" t="s">
        <v>24</v>
      </c>
      <c r="K129" s="95" t="s">
        <v>24</v>
      </c>
      <c r="L129" s="103" t="s">
        <v>211</v>
      </c>
      <c r="M129" s="97" t="s">
        <v>26</v>
      </c>
      <c r="N129" s="97" t="s">
        <v>26</v>
      </c>
      <c r="O129" s="95" t="s">
        <v>24</v>
      </c>
      <c r="P129" s="97" t="s">
        <v>26</v>
      </c>
      <c r="Q129" s="97" t="s">
        <v>26</v>
      </c>
      <c r="R129" s="97" t="s">
        <v>26</v>
      </c>
      <c r="S129" s="97" t="s">
        <v>26</v>
      </c>
      <c r="T129" s="97" t="s">
        <v>26</v>
      </c>
      <c r="U129" s="95" t="s">
        <v>24</v>
      </c>
      <c r="V129" s="95" t="s">
        <v>24</v>
      </c>
      <c r="W129" s="97" t="s">
        <v>26</v>
      </c>
      <c r="X129" s="97" t="s">
        <v>26</v>
      </c>
      <c r="Y129" s="97" t="s">
        <v>26</v>
      </c>
      <c r="Z129" s="97" t="s">
        <v>26</v>
      </c>
      <c r="AA129" s="97" t="s">
        <v>26</v>
      </c>
      <c r="AB129" s="95" t="s">
        <v>24</v>
      </c>
      <c r="AC129" s="95" t="s">
        <v>24</v>
      </c>
      <c r="AD129" s="97" t="s">
        <v>26</v>
      </c>
      <c r="AE129" s="97" t="s">
        <v>26</v>
      </c>
      <c r="AF129" s="97" t="s">
        <v>26</v>
      </c>
      <c r="AG129" s="97" t="s">
        <v>26</v>
      </c>
      <c r="AH129" s="97" t="s">
        <v>26</v>
      </c>
      <c r="AI129" s="98">
        <f t="shared" si="11"/>
        <v>31</v>
      </c>
      <c r="AJ129" s="98">
        <f t="shared" si="13"/>
        <v>17</v>
      </c>
      <c r="AK129" s="98">
        <v>9</v>
      </c>
      <c r="AL129" s="98">
        <v>4</v>
      </c>
      <c r="AM129" s="98">
        <v>1</v>
      </c>
      <c r="AN129" s="98">
        <v>1</v>
      </c>
      <c r="AO129" s="98"/>
      <c r="AP129" s="98"/>
      <c r="AQ129" s="98"/>
      <c r="AR129" s="98"/>
      <c r="AS129" s="98">
        <f t="shared" si="12"/>
        <v>0</v>
      </c>
      <c r="AT129" s="99"/>
    </row>
    <row r="130" customFormat="1" ht="34" customHeight="1" spans="1:46">
      <c r="A130" s="92">
        <f t="shared" si="14"/>
        <v>127</v>
      </c>
      <c r="B130" s="93" t="s">
        <v>212</v>
      </c>
      <c r="C130" s="94" t="s">
        <v>209</v>
      </c>
      <c r="D130" s="95" t="s">
        <v>23</v>
      </c>
      <c r="E130" s="95" t="s">
        <v>23</v>
      </c>
      <c r="F130" s="95" t="s">
        <v>23</v>
      </c>
      <c r="G130" s="95" t="s">
        <v>24</v>
      </c>
      <c r="H130" s="95" t="s">
        <v>24</v>
      </c>
      <c r="I130" s="95" t="s">
        <v>23</v>
      </c>
      <c r="J130" s="95" t="s">
        <v>24</v>
      </c>
      <c r="K130" s="95" t="s">
        <v>24</v>
      </c>
      <c r="L130" s="97" t="s">
        <v>26</v>
      </c>
      <c r="M130" s="97" t="s">
        <v>26</v>
      </c>
      <c r="N130" s="97" t="s">
        <v>26</v>
      </c>
      <c r="O130" s="95" t="s">
        <v>24</v>
      </c>
      <c r="P130" s="97" t="s">
        <v>26</v>
      </c>
      <c r="Q130" s="97" t="s">
        <v>26</v>
      </c>
      <c r="R130" s="97" t="s">
        <v>26</v>
      </c>
      <c r="S130" s="97" t="s">
        <v>26</v>
      </c>
      <c r="T130" s="97" t="s">
        <v>26</v>
      </c>
      <c r="U130" s="95" t="s">
        <v>24</v>
      </c>
      <c r="V130" s="95" t="s">
        <v>24</v>
      </c>
      <c r="W130" s="97" t="s">
        <v>26</v>
      </c>
      <c r="X130" s="97" t="s">
        <v>26</v>
      </c>
      <c r="Y130" s="97" t="s">
        <v>26</v>
      </c>
      <c r="Z130" s="97" t="s">
        <v>26</v>
      </c>
      <c r="AA130" s="97" t="s">
        <v>26</v>
      </c>
      <c r="AB130" s="95" t="s">
        <v>24</v>
      </c>
      <c r="AC130" s="95" t="s">
        <v>24</v>
      </c>
      <c r="AD130" s="100" t="s">
        <v>137</v>
      </c>
      <c r="AE130" s="100" t="s">
        <v>124</v>
      </c>
      <c r="AF130" s="97" t="s">
        <v>26</v>
      </c>
      <c r="AG130" s="97" t="s">
        <v>26</v>
      </c>
      <c r="AH130" s="97" t="s">
        <v>26</v>
      </c>
      <c r="AI130" s="98">
        <f t="shared" si="11"/>
        <v>31</v>
      </c>
      <c r="AJ130" s="98">
        <f t="shared" si="13"/>
        <v>17.37</v>
      </c>
      <c r="AK130" s="98">
        <v>9</v>
      </c>
      <c r="AL130" s="98">
        <v>4</v>
      </c>
      <c r="AM130" s="98">
        <v>0.63</v>
      </c>
      <c r="AN130" s="98"/>
      <c r="AO130" s="98"/>
      <c r="AP130" s="98"/>
      <c r="AQ130" s="98"/>
      <c r="AR130" s="98"/>
      <c r="AS130" s="98">
        <f t="shared" si="12"/>
        <v>0.63</v>
      </c>
      <c r="AT130" s="99" t="s">
        <v>213</v>
      </c>
    </row>
    <row r="131" customFormat="1" ht="34" customHeight="1" spans="1:46">
      <c r="A131" s="92">
        <f t="shared" si="14"/>
        <v>128</v>
      </c>
      <c r="B131" s="93" t="s">
        <v>214</v>
      </c>
      <c r="C131" s="94" t="s">
        <v>209</v>
      </c>
      <c r="D131" s="95" t="s">
        <v>23</v>
      </c>
      <c r="E131" s="95" t="s">
        <v>23</v>
      </c>
      <c r="F131" s="95" t="s">
        <v>23</v>
      </c>
      <c r="G131" s="95" t="s">
        <v>24</v>
      </c>
      <c r="H131" s="95" t="s">
        <v>24</v>
      </c>
      <c r="I131" s="95" t="s">
        <v>23</v>
      </c>
      <c r="J131" s="95" t="s">
        <v>24</v>
      </c>
      <c r="K131" s="95" t="s">
        <v>24</v>
      </c>
      <c r="L131" s="97" t="s">
        <v>26</v>
      </c>
      <c r="M131" s="97" t="s">
        <v>26</v>
      </c>
      <c r="N131" s="97" t="s">
        <v>26</v>
      </c>
      <c r="O131" s="95" t="s">
        <v>24</v>
      </c>
      <c r="P131" s="97" t="s">
        <v>26</v>
      </c>
      <c r="Q131" s="97" t="s">
        <v>26</v>
      </c>
      <c r="R131" s="97" t="s">
        <v>26</v>
      </c>
      <c r="S131" s="97" t="s">
        <v>26</v>
      </c>
      <c r="T131" s="97" t="s">
        <v>26</v>
      </c>
      <c r="U131" s="95" t="s">
        <v>24</v>
      </c>
      <c r="V131" s="95" t="s">
        <v>24</v>
      </c>
      <c r="W131" s="97" t="s">
        <v>26</v>
      </c>
      <c r="X131" s="97" t="s">
        <v>26</v>
      </c>
      <c r="Y131" s="97" t="s">
        <v>26</v>
      </c>
      <c r="Z131" s="97" t="s">
        <v>26</v>
      </c>
      <c r="AA131" s="97" t="s">
        <v>26</v>
      </c>
      <c r="AB131" s="95" t="s">
        <v>24</v>
      </c>
      <c r="AC131" s="95" t="s">
        <v>24</v>
      </c>
      <c r="AD131" s="100" t="s">
        <v>25</v>
      </c>
      <c r="AE131" s="100" t="s">
        <v>25</v>
      </c>
      <c r="AF131" s="97" t="s">
        <v>26</v>
      </c>
      <c r="AG131" s="97" t="s">
        <v>26</v>
      </c>
      <c r="AH131" s="97" t="s">
        <v>26</v>
      </c>
      <c r="AI131" s="98">
        <f t="shared" si="11"/>
        <v>31</v>
      </c>
      <c r="AJ131" s="98">
        <f t="shared" si="13"/>
        <v>16</v>
      </c>
      <c r="AK131" s="98">
        <v>9</v>
      </c>
      <c r="AL131" s="98">
        <v>4</v>
      </c>
      <c r="AM131" s="98">
        <v>2</v>
      </c>
      <c r="AN131" s="98"/>
      <c r="AO131" s="98"/>
      <c r="AP131" s="98"/>
      <c r="AQ131" s="98"/>
      <c r="AR131" s="98"/>
      <c r="AS131" s="98">
        <f t="shared" si="12"/>
        <v>2</v>
      </c>
      <c r="AT131" s="99"/>
    </row>
    <row r="132" customFormat="1" ht="34" customHeight="1" spans="1:46">
      <c r="A132" s="92">
        <f t="shared" si="14"/>
        <v>129</v>
      </c>
      <c r="B132" s="93" t="s">
        <v>215</v>
      </c>
      <c r="C132" s="94" t="s">
        <v>209</v>
      </c>
      <c r="D132" s="95" t="s">
        <v>23</v>
      </c>
      <c r="E132" s="95" t="s">
        <v>23</v>
      </c>
      <c r="F132" s="95" t="s">
        <v>23</v>
      </c>
      <c r="G132" s="95" t="s">
        <v>24</v>
      </c>
      <c r="H132" s="95" t="s">
        <v>24</v>
      </c>
      <c r="I132" s="95" t="s">
        <v>23</v>
      </c>
      <c r="J132" s="95" t="s">
        <v>24</v>
      </c>
      <c r="K132" s="95" t="s">
        <v>24</v>
      </c>
      <c r="L132" s="97" t="s">
        <v>26</v>
      </c>
      <c r="M132" s="97" t="s">
        <v>26</v>
      </c>
      <c r="N132" s="97" t="s">
        <v>26</v>
      </c>
      <c r="O132" s="95" t="s">
        <v>24</v>
      </c>
      <c r="P132" s="97" t="s">
        <v>26</v>
      </c>
      <c r="Q132" s="97" t="s">
        <v>26</v>
      </c>
      <c r="R132" s="97" t="s">
        <v>26</v>
      </c>
      <c r="S132" s="97" t="s">
        <v>26</v>
      </c>
      <c r="T132" s="97" t="s">
        <v>26</v>
      </c>
      <c r="U132" s="95" t="s">
        <v>24</v>
      </c>
      <c r="V132" s="95" t="s">
        <v>24</v>
      </c>
      <c r="W132" s="100" t="s">
        <v>124</v>
      </c>
      <c r="X132" s="97" t="s">
        <v>26</v>
      </c>
      <c r="Y132" s="97" t="s">
        <v>26</v>
      </c>
      <c r="Z132" s="97" t="s">
        <v>26</v>
      </c>
      <c r="AA132" s="97" t="s">
        <v>26</v>
      </c>
      <c r="AB132" s="95" t="s">
        <v>24</v>
      </c>
      <c r="AC132" s="95" t="s">
        <v>24</v>
      </c>
      <c r="AD132" s="97" t="s">
        <v>26</v>
      </c>
      <c r="AE132" s="97" t="s">
        <v>26</v>
      </c>
      <c r="AF132" s="97" t="s">
        <v>26</v>
      </c>
      <c r="AG132" s="97" t="s">
        <v>26</v>
      </c>
      <c r="AH132" s="97" t="s">
        <v>26</v>
      </c>
      <c r="AI132" s="98">
        <f t="shared" ref="AI132:AI192" si="15">AM132+AL132+AK132+AJ132</f>
        <v>31</v>
      </c>
      <c r="AJ132" s="98">
        <f t="shared" si="13"/>
        <v>17.62</v>
      </c>
      <c r="AK132" s="98">
        <v>9</v>
      </c>
      <c r="AL132" s="98">
        <v>4</v>
      </c>
      <c r="AM132" s="98">
        <v>0.38</v>
      </c>
      <c r="AN132" s="98"/>
      <c r="AO132" s="98"/>
      <c r="AP132" s="98"/>
      <c r="AQ132" s="98"/>
      <c r="AR132" s="98"/>
      <c r="AS132" s="98">
        <f t="shared" ref="AS132:AS192" si="16">AM132-AN132-AO132-AP132-AQ132+AR132</f>
        <v>0.38</v>
      </c>
      <c r="AT132" s="99"/>
    </row>
    <row r="133" customFormat="1" ht="34" customHeight="1" spans="1:46">
      <c r="A133" s="92">
        <f t="shared" si="14"/>
        <v>130</v>
      </c>
      <c r="B133" s="93" t="s">
        <v>216</v>
      </c>
      <c r="C133" s="94" t="s">
        <v>209</v>
      </c>
      <c r="D133" s="95" t="s">
        <v>23</v>
      </c>
      <c r="E133" s="95" t="s">
        <v>23</v>
      </c>
      <c r="F133" s="95" t="s">
        <v>23</v>
      </c>
      <c r="G133" s="95" t="s">
        <v>24</v>
      </c>
      <c r="H133" s="95" t="s">
        <v>24</v>
      </c>
      <c r="I133" s="95" t="s">
        <v>23</v>
      </c>
      <c r="J133" s="95" t="s">
        <v>24</v>
      </c>
      <c r="K133" s="95" t="s">
        <v>24</v>
      </c>
      <c r="L133" s="97" t="s">
        <v>26</v>
      </c>
      <c r="M133" s="97" t="s">
        <v>26</v>
      </c>
      <c r="N133" s="97" t="s">
        <v>26</v>
      </c>
      <c r="O133" s="95" t="s">
        <v>24</v>
      </c>
      <c r="P133" s="97" t="s">
        <v>26</v>
      </c>
      <c r="Q133" s="97" t="s">
        <v>26</v>
      </c>
      <c r="R133" s="97" t="s">
        <v>26</v>
      </c>
      <c r="S133" s="97" t="s">
        <v>26</v>
      </c>
      <c r="T133" s="97" t="s">
        <v>26</v>
      </c>
      <c r="U133" s="95" t="s">
        <v>24</v>
      </c>
      <c r="V133" s="95" t="s">
        <v>24</v>
      </c>
      <c r="W133" s="97" t="s">
        <v>26</v>
      </c>
      <c r="X133" s="97" t="s">
        <v>26</v>
      </c>
      <c r="Y133" s="97" t="s">
        <v>26</v>
      </c>
      <c r="Z133" s="97" t="s">
        <v>26</v>
      </c>
      <c r="AA133" s="97" t="s">
        <v>26</v>
      </c>
      <c r="AB133" s="95" t="s">
        <v>24</v>
      </c>
      <c r="AC133" s="95" t="s">
        <v>24</v>
      </c>
      <c r="AD133" s="97" t="s">
        <v>26</v>
      </c>
      <c r="AE133" s="97" t="s">
        <v>26</v>
      </c>
      <c r="AF133" s="97" t="s">
        <v>26</v>
      </c>
      <c r="AG133" s="97" t="s">
        <v>26</v>
      </c>
      <c r="AH133" s="97" t="s">
        <v>26</v>
      </c>
      <c r="AI133" s="98">
        <f t="shared" si="15"/>
        <v>31</v>
      </c>
      <c r="AJ133" s="98">
        <f t="shared" si="13"/>
        <v>18</v>
      </c>
      <c r="AK133" s="98">
        <v>9</v>
      </c>
      <c r="AL133" s="98">
        <v>4</v>
      </c>
      <c r="AM133" s="98">
        <v>0</v>
      </c>
      <c r="AN133" s="98"/>
      <c r="AO133" s="98"/>
      <c r="AP133" s="98"/>
      <c r="AQ133" s="98"/>
      <c r="AR133" s="98"/>
      <c r="AS133" s="98">
        <f t="shared" si="16"/>
        <v>0</v>
      </c>
      <c r="AT133" s="99"/>
    </row>
    <row r="134" customFormat="1" ht="34" customHeight="1" spans="1:46">
      <c r="A134" s="92">
        <f t="shared" si="14"/>
        <v>131</v>
      </c>
      <c r="B134" s="93" t="s">
        <v>217</v>
      </c>
      <c r="C134" s="94" t="s">
        <v>209</v>
      </c>
      <c r="D134" s="95" t="s">
        <v>23</v>
      </c>
      <c r="E134" s="95" t="s">
        <v>23</v>
      </c>
      <c r="F134" s="95" t="s">
        <v>23</v>
      </c>
      <c r="G134" s="95" t="s">
        <v>24</v>
      </c>
      <c r="H134" s="95" t="s">
        <v>24</v>
      </c>
      <c r="I134" s="95" t="s">
        <v>23</v>
      </c>
      <c r="J134" s="95" t="s">
        <v>24</v>
      </c>
      <c r="K134" s="95" t="s">
        <v>24</v>
      </c>
      <c r="L134" s="97" t="s">
        <v>26</v>
      </c>
      <c r="M134" s="97" t="s">
        <v>26</v>
      </c>
      <c r="N134" s="97" t="s">
        <v>26</v>
      </c>
      <c r="O134" s="95" t="s">
        <v>24</v>
      </c>
      <c r="P134" s="97" t="s">
        <v>26</v>
      </c>
      <c r="Q134" s="97" t="s">
        <v>26</v>
      </c>
      <c r="R134" s="97" t="s">
        <v>26</v>
      </c>
      <c r="S134" s="97" t="s">
        <v>26</v>
      </c>
      <c r="T134" s="97" t="s">
        <v>26</v>
      </c>
      <c r="U134" s="95" t="s">
        <v>24</v>
      </c>
      <c r="V134" s="95" t="s">
        <v>24</v>
      </c>
      <c r="W134" s="97" t="s">
        <v>26</v>
      </c>
      <c r="X134" s="97" t="s">
        <v>26</v>
      </c>
      <c r="Y134" s="97" t="s">
        <v>26</v>
      </c>
      <c r="Z134" s="97" t="s">
        <v>26</v>
      </c>
      <c r="AA134" s="97" t="s">
        <v>26</v>
      </c>
      <c r="AB134" s="95" t="s">
        <v>24</v>
      </c>
      <c r="AC134" s="95" t="s">
        <v>24</v>
      </c>
      <c r="AD134" s="97" t="s">
        <v>26</v>
      </c>
      <c r="AE134" s="97" t="s">
        <v>26</v>
      </c>
      <c r="AF134" s="97" t="s">
        <v>26</v>
      </c>
      <c r="AG134" s="97" t="s">
        <v>26</v>
      </c>
      <c r="AH134" s="100" t="s">
        <v>25</v>
      </c>
      <c r="AI134" s="98">
        <f t="shared" si="15"/>
        <v>31</v>
      </c>
      <c r="AJ134" s="98">
        <f t="shared" si="13"/>
        <v>17</v>
      </c>
      <c r="AK134" s="98">
        <v>9</v>
      </c>
      <c r="AL134" s="98">
        <v>4</v>
      </c>
      <c r="AM134" s="98">
        <v>1</v>
      </c>
      <c r="AN134" s="98"/>
      <c r="AO134" s="98"/>
      <c r="AP134" s="98"/>
      <c r="AQ134" s="98"/>
      <c r="AR134" s="98"/>
      <c r="AS134" s="98">
        <f t="shared" si="16"/>
        <v>1</v>
      </c>
      <c r="AT134" s="99"/>
    </row>
    <row r="135" customFormat="1" ht="34" customHeight="1" spans="1:46">
      <c r="A135" s="92">
        <f t="shared" si="14"/>
        <v>132</v>
      </c>
      <c r="B135" s="93" t="s">
        <v>218</v>
      </c>
      <c r="C135" s="94" t="s">
        <v>209</v>
      </c>
      <c r="D135" s="95" t="s">
        <v>23</v>
      </c>
      <c r="E135" s="95" t="s">
        <v>23</v>
      </c>
      <c r="F135" s="95" t="s">
        <v>23</v>
      </c>
      <c r="G135" s="95" t="s">
        <v>24</v>
      </c>
      <c r="H135" s="95" t="s">
        <v>24</v>
      </c>
      <c r="I135" s="95" t="s">
        <v>23</v>
      </c>
      <c r="J135" s="95" t="s">
        <v>24</v>
      </c>
      <c r="K135" s="95" t="s">
        <v>24</v>
      </c>
      <c r="L135" s="97" t="s">
        <v>26</v>
      </c>
      <c r="M135" s="97" t="s">
        <v>26</v>
      </c>
      <c r="N135" s="97" t="s">
        <v>26</v>
      </c>
      <c r="O135" s="95" t="s">
        <v>24</v>
      </c>
      <c r="P135" s="97" t="s">
        <v>26</v>
      </c>
      <c r="Q135" s="97" t="s">
        <v>26</v>
      </c>
      <c r="R135" s="97" t="s">
        <v>26</v>
      </c>
      <c r="S135" s="97" t="s">
        <v>26</v>
      </c>
      <c r="T135" s="97" t="s">
        <v>26</v>
      </c>
      <c r="U135" s="95" t="s">
        <v>24</v>
      </c>
      <c r="V135" s="95" t="s">
        <v>24</v>
      </c>
      <c r="W135" s="97" t="s">
        <v>26</v>
      </c>
      <c r="X135" s="97" t="s">
        <v>26</v>
      </c>
      <c r="Y135" s="97" t="s">
        <v>26</v>
      </c>
      <c r="Z135" s="97" t="s">
        <v>26</v>
      </c>
      <c r="AA135" s="97" t="s">
        <v>26</v>
      </c>
      <c r="AB135" s="95" t="s">
        <v>24</v>
      </c>
      <c r="AC135" s="95" t="s">
        <v>24</v>
      </c>
      <c r="AD135" s="97" t="s">
        <v>26</v>
      </c>
      <c r="AE135" s="97" t="s">
        <v>26</v>
      </c>
      <c r="AF135" s="97" t="s">
        <v>26</v>
      </c>
      <c r="AG135" s="97" t="s">
        <v>26</v>
      </c>
      <c r="AH135" s="97" t="s">
        <v>26</v>
      </c>
      <c r="AI135" s="98">
        <f t="shared" si="15"/>
        <v>31</v>
      </c>
      <c r="AJ135" s="98">
        <f t="shared" si="13"/>
        <v>18</v>
      </c>
      <c r="AK135" s="98">
        <v>9</v>
      </c>
      <c r="AL135" s="98">
        <v>4</v>
      </c>
      <c r="AM135" s="98">
        <v>0</v>
      </c>
      <c r="AN135" s="98"/>
      <c r="AO135" s="98"/>
      <c r="AP135" s="98"/>
      <c r="AQ135" s="98"/>
      <c r="AR135" s="98"/>
      <c r="AS135" s="98">
        <f t="shared" si="16"/>
        <v>0</v>
      </c>
      <c r="AT135" s="99"/>
    </row>
    <row r="136" customFormat="1" ht="34" customHeight="1" spans="1:46">
      <c r="A136" s="92">
        <f t="shared" si="14"/>
        <v>133</v>
      </c>
      <c r="B136" s="93" t="s">
        <v>219</v>
      </c>
      <c r="C136" s="94" t="s">
        <v>209</v>
      </c>
      <c r="D136" s="95" t="s">
        <v>23</v>
      </c>
      <c r="E136" s="95" t="s">
        <v>23</v>
      </c>
      <c r="F136" s="95" t="s">
        <v>23</v>
      </c>
      <c r="G136" s="95" t="s">
        <v>24</v>
      </c>
      <c r="H136" s="95" t="s">
        <v>24</v>
      </c>
      <c r="I136" s="95" t="s">
        <v>23</v>
      </c>
      <c r="J136" s="95" t="s">
        <v>24</v>
      </c>
      <c r="K136" s="95" t="s">
        <v>24</v>
      </c>
      <c r="L136" s="97" t="s">
        <v>26</v>
      </c>
      <c r="M136" s="97" t="s">
        <v>26</v>
      </c>
      <c r="N136" s="97" t="s">
        <v>26</v>
      </c>
      <c r="O136" s="95" t="s">
        <v>24</v>
      </c>
      <c r="P136" s="97" t="s">
        <v>26</v>
      </c>
      <c r="Q136" s="97" t="s">
        <v>26</v>
      </c>
      <c r="R136" s="97" t="s">
        <v>26</v>
      </c>
      <c r="S136" s="97" t="s">
        <v>26</v>
      </c>
      <c r="T136" s="97" t="s">
        <v>26</v>
      </c>
      <c r="U136" s="95" t="s">
        <v>24</v>
      </c>
      <c r="V136" s="95" t="s">
        <v>24</v>
      </c>
      <c r="W136" s="97" t="s">
        <v>26</v>
      </c>
      <c r="X136" s="97" t="s">
        <v>26</v>
      </c>
      <c r="Y136" s="97" t="s">
        <v>26</v>
      </c>
      <c r="Z136" s="97" t="s">
        <v>26</v>
      </c>
      <c r="AA136" s="97" t="s">
        <v>26</v>
      </c>
      <c r="AB136" s="95" t="s">
        <v>24</v>
      </c>
      <c r="AC136" s="95" t="s">
        <v>24</v>
      </c>
      <c r="AD136" s="97" t="s">
        <v>26</v>
      </c>
      <c r="AE136" s="97" t="s">
        <v>26</v>
      </c>
      <c r="AF136" s="97" t="s">
        <v>26</v>
      </c>
      <c r="AG136" s="97" t="s">
        <v>26</v>
      </c>
      <c r="AH136" s="97" t="s">
        <v>26</v>
      </c>
      <c r="AI136" s="98">
        <f t="shared" si="15"/>
        <v>31</v>
      </c>
      <c r="AJ136" s="98">
        <f t="shared" si="13"/>
        <v>18</v>
      </c>
      <c r="AK136" s="98">
        <v>9</v>
      </c>
      <c r="AL136" s="98">
        <v>4</v>
      </c>
      <c r="AM136" s="98">
        <v>0</v>
      </c>
      <c r="AN136" s="98"/>
      <c r="AO136" s="98"/>
      <c r="AP136" s="98"/>
      <c r="AQ136" s="98"/>
      <c r="AR136" s="98"/>
      <c r="AS136" s="98">
        <f t="shared" si="16"/>
        <v>0</v>
      </c>
      <c r="AT136" s="99"/>
    </row>
    <row r="137" customFormat="1" ht="34" customHeight="1" spans="1:46">
      <c r="A137" s="92">
        <f t="shared" si="14"/>
        <v>134</v>
      </c>
      <c r="B137" s="93" t="s">
        <v>220</v>
      </c>
      <c r="C137" s="94" t="s">
        <v>209</v>
      </c>
      <c r="D137" s="95" t="s">
        <v>23</v>
      </c>
      <c r="E137" s="95" t="s">
        <v>23</v>
      </c>
      <c r="F137" s="95" t="s">
        <v>23</v>
      </c>
      <c r="G137" s="95" t="s">
        <v>24</v>
      </c>
      <c r="H137" s="95" t="s">
        <v>24</v>
      </c>
      <c r="I137" s="95" t="s">
        <v>23</v>
      </c>
      <c r="J137" s="95" t="s">
        <v>24</v>
      </c>
      <c r="K137" s="95" t="s">
        <v>24</v>
      </c>
      <c r="L137" s="97" t="s">
        <v>26</v>
      </c>
      <c r="M137" s="97" t="s">
        <v>26</v>
      </c>
      <c r="N137" s="97" t="s">
        <v>26</v>
      </c>
      <c r="O137" s="95" t="s">
        <v>24</v>
      </c>
      <c r="P137" s="97" t="s">
        <v>26</v>
      </c>
      <c r="Q137" s="97" t="s">
        <v>26</v>
      </c>
      <c r="R137" s="97" t="s">
        <v>26</v>
      </c>
      <c r="S137" s="97" t="s">
        <v>26</v>
      </c>
      <c r="T137" s="97" t="s">
        <v>26</v>
      </c>
      <c r="U137" s="95" t="s">
        <v>24</v>
      </c>
      <c r="V137" s="95" t="s">
        <v>24</v>
      </c>
      <c r="W137" s="97" t="s">
        <v>26</v>
      </c>
      <c r="X137" s="97" t="s">
        <v>26</v>
      </c>
      <c r="Y137" s="97" t="s">
        <v>26</v>
      </c>
      <c r="Z137" s="97" t="s">
        <v>26</v>
      </c>
      <c r="AA137" s="97" t="s">
        <v>26</v>
      </c>
      <c r="AB137" s="95" t="s">
        <v>24</v>
      </c>
      <c r="AC137" s="95" t="s">
        <v>24</v>
      </c>
      <c r="AD137" s="97" t="s">
        <v>26</v>
      </c>
      <c r="AE137" s="97" t="s">
        <v>26</v>
      </c>
      <c r="AF137" s="97" t="s">
        <v>26</v>
      </c>
      <c r="AG137" s="97" t="s">
        <v>26</v>
      </c>
      <c r="AH137" s="97" t="s">
        <v>26</v>
      </c>
      <c r="AI137" s="98">
        <f t="shared" si="15"/>
        <v>31</v>
      </c>
      <c r="AJ137" s="98">
        <f t="shared" si="13"/>
        <v>18</v>
      </c>
      <c r="AK137" s="98">
        <v>9</v>
      </c>
      <c r="AL137" s="98">
        <v>4</v>
      </c>
      <c r="AM137" s="98">
        <v>0</v>
      </c>
      <c r="AN137" s="98"/>
      <c r="AO137" s="98"/>
      <c r="AP137" s="98"/>
      <c r="AQ137" s="98"/>
      <c r="AR137" s="98"/>
      <c r="AS137" s="98">
        <f t="shared" si="16"/>
        <v>0</v>
      </c>
      <c r="AT137" s="99"/>
    </row>
    <row r="138" customFormat="1" ht="34" customHeight="1" spans="1:46">
      <c r="A138" s="92">
        <f t="shared" si="14"/>
        <v>135</v>
      </c>
      <c r="B138" s="93" t="s">
        <v>221</v>
      </c>
      <c r="C138" s="94" t="s">
        <v>209</v>
      </c>
      <c r="D138" s="95" t="s">
        <v>23</v>
      </c>
      <c r="E138" s="95" t="s">
        <v>23</v>
      </c>
      <c r="F138" s="95" t="s">
        <v>23</v>
      </c>
      <c r="G138" s="95" t="s">
        <v>24</v>
      </c>
      <c r="H138" s="95" t="s">
        <v>24</v>
      </c>
      <c r="I138" s="95" t="s">
        <v>23</v>
      </c>
      <c r="J138" s="95" t="s">
        <v>24</v>
      </c>
      <c r="K138" s="95" t="s">
        <v>24</v>
      </c>
      <c r="L138" s="97" t="s">
        <v>26</v>
      </c>
      <c r="M138" s="97" t="s">
        <v>26</v>
      </c>
      <c r="N138" s="97" t="s">
        <v>26</v>
      </c>
      <c r="O138" s="95" t="s">
        <v>24</v>
      </c>
      <c r="P138" s="97" t="s">
        <v>26</v>
      </c>
      <c r="Q138" s="97" t="s">
        <v>26</v>
      </c>
      <c r="R138" s="97" t="s">
        <v>26</v>
      </c>
      <c r="S138" s="97" t="s">
        <v>26</v>
      </c>
      <c r="T138" s="97" t="s">
        <v>26</v>
      </c>
      <c r="U138" s="95" t="s">
        <v>24</v>
      </c>
      <c r="V138" s="95" t="s">
        <v>24</v>
      </c>
      <c r="W138" s="97" t="s">
        <v>26</v>
      </c>
      <c r="X138" s="97" t="s">
        <v>26</v>
      </c>
      <c r="Y138" s="97" t="s">
        <v>26</v>
      </c>
      <c r="Z138" s="97" t="s">
        <v>26</v>
      </c>
      <c r="AA138" s="97" t="s">
        <v>26</v>
      </c>
      <c r="AB138" s="95" t="s">
        <v>24</v>
      </c>
      <c r="AC138" s="95" t="s">
        <v>24</v>
      </c>
      <c r="AD138" s="97" t="s">
        <v>26</v>
      </c>
      <c r="AE138" s="97" t="s">
        <v>26</v>
      </c>
      <c r="AF138" s="97" t="s">
        <v>26</v>
      </c>
      <c r="AG138" s="97" t="s">
        <v>26</v>
      </c>
      <c r="AH138" s="97" t="s">
        <v>26</v>
      </c>
      <c r="AI138" s="98">
        <f t="shared" si="15"/>
        <v>31</v>
      </c>
      <c r="AJ138" s="98">
        <f t="shared" si="13"/>
        <v>18</v>
      </c>
      <c r="AK138" s="98">
        <v>9</v>
      </c>
      <c r="AL138" s="98">
        <v>4</v>
      </c>
      <c r="AM138" s="98">
        <v>0</v>
      </c>
      <c r="AN138" s="98"/>
      <c r="AO138" s="98"/>
      <c r="AP138" s="98"/>
      <c r="AQ138" s="98"/>
      <c r="AR138" s="98"/>
      <c r="AS138" s="98">
        <f t="shared" si="16"/>
        <v>0</v>
      </c>
      <c r="AT138" s="99"/>
    </row>
    <row r="139" customFormat="1" ht="34" customHeight="1" spans="1:46">
      <c r="A139" s="92">
        <f t="shared" si="14"/>
        <v>136</v>
      </c>
      <c r="B139" s="93" t="s">
        <v>222</v>
      </c>
      <c r="C139" s="94" t="s">
        <v>209</v>
      </c>
      <c r="D139" s="95" t="s">
        <v>23</v>
      </c>
      <c r="E139" s="95" t="s">
        <v>23</v>
      </c>
      <c r="F139" s="95" t="s">
        <v>23</v>
      </c>
      <c r="G139" s="95" t="s">
        <v>24</v>
      </c>
      <c r="H139" s="95" t="s">
        <v>24</v>
      </c>
      <c r="I139" s="95" t="s">
        <v>23</v>
      </c>
      <c r="J139" s="95" t="s">
        <v>24</v>
      </c>
      <c r="K139" s="95" t="s">
        <v>24</v>
      </c>
      <c r="L139" s="97" t="s">
        <v>26</v>
      </c>
      <c r="M139" s="97" t="s">
        <v>26</v>
      </c>
      <c r="N139" s="97" t="s">
        <v>26</v>
      </c>
      <c r="O139" s="95" t="s">
        <v>24</v>
      </c>
      <c r="P139" s="97" t="s">
        <v>26</v>
      </c>
      <c r="Q139" s="97" t="s">
        <v>26</v>
      </c>
      <c r="R139" s="97" t="s">
        <v>26</v>
      </c>
      <c r="S139" s="97" t="s">
        <v>26</v>
      </c>
      <c r="T139" s="97" t="s">
        <v>26</v>
      </c>
      <c r="U139" s="95" t="s">
        <v>24</v>
      </c>
      <c r="V139" s="95" t="s">
        <v>24</v>
      </c>
      <c r="W139" s="97" t="s">
        <v>26</v>
      </c>
      <c r="X139" s="97" t="s">
        <v>26</v>
      </c>
      <c r="Y139" s="97" t="s">
        <v>26</v>
      </c>
      <c r="Z139" s="97" t="s">
        <v>26</v>
      </c>
      <c r="AA139" s="97" t="s">
        <v>26</v>
      </c>
      <c r="AB139" s="95" t="s">
        <v>24</v>
      </c>
      <c r="AC139" s="95" t="s">
        <v>24</v>
      </c>
      <c r="AD139" s="97" t="s">
        <v>26</v>
      </c>
      <c r="AE139" s="97" t="s">
        <v>26</v>
      </c>
      <c r="AF139" s="97" t="s">
        <v>26</v>
      </c>
      <c r="AG139" s="97" t="s">
        <v>26</v>
      </c>
      <c r="AH139" s="97" t="s">
        <v>26</v>
      </c>
      <c r="AI139" s="98">
        <f t="shared" si="15"/>
        <v>31</v>
      </c>
      <c r="AJ139" s="98">
        <f t="shared" si="13"/>
        <v>18</v>
      </c>
      <c r="AK139" s="98">
        <v>9</v>
      </c>
      <c r="AL139" s="98">
        <v>4</v>
      </c>
      <c r="AM139" s="98">
        <v>0</v>
      </c>
      <c r="AN139" s="98"/>
      <c r="AO139" s="98"/>
      <c r="AP139" s="98"/>
      <c r="AQ139" s="98"/>
      <c r="AR139" s="98"/>
      <c r="AS139" s="98">
        <f t="shared" si="16"/>
        <v>0</v>
      </c>
      <c r="AT139" s="99"/>
    </row>
    <row r="140" customFormat="1" ht="34" customHeight="1" spans="1:46">
      <c r="A140" s="92">
        <f t="shared" si="14"/>
        <v>137</v>
      </c>
      <c r="B140" s="93" t="s">
        <v>223</v>
      </c>
      <c r="C140" s="94" t="s">
        <v>209</v>
      </c>
      <c r="D140" s="95" t="s">
        <v>23</v>
      </c>
      <c r="E140" s="95" t="s">
        <v>23</v>
      </c>
      <c r="F140" s="95" t="s">
        <v>23</v>
      </c>
      <c r="G140" s="95" t="s">
        <v>24</v>
      </c>
      <c r="H140" s="95" t="s">
        <v>24</v>
      </c>
      <c r="I140" s="95" t="s">
        <v>23</v>
      </c>
      <c r="J140" s="95" t="s">
        <v>24</v>
      </c>
      <c r="K140" s="95" t="s">
        <v>24</v>
      </c>
      <c r="L140" s="97" t="s">
        <v>26</v>
      </c>
      <c r="M140" s="97" t="s">
        <v>26</v>
      </c>
      <c r="N140" s="97" t="s">
        <v>26</v>
      </c>
      <c r="O140" s="95" t="s">
        <v>24</v>
      </c>
      <c r="P140" s="100" t="s">
        <v>124</v>
      </c>
      <c r="Q140" s="97" t="s">
        <v>26</v>
      </c>
      <c r="R140" s="97" t="s">
        <v>26</v>
      </c>
      <c r="S140" s="97" t="s">
        <v>26</v>
      </c>
      <c r="T140" s="97" t="s">
        <v>26</v>
      </c>
      <c r="U140" s="95" t="s">
        <v>24</v>
      </c>
      <c r="V140" s="95" t="s">
        <v>24</v>
      </c>
      <c r="W140" s="97" t="s">
        <v>26</v>
      </c>
      <c r="X140" s="97" t="s">
        <v>26</v>
      </c>
      <c r="Y140" s="97" t="s">
        <v>26</v>
      </c>
      <c r="Z140" s="97" t="s">
        <v>26</v>
      </c>
      <c r="AA140" s="97" t="s">
        <v>26</v>
      </c>
      <c r="AB140" s="95" t="s">
        <v>24</v>
      </c>
      <c r="AC140" s="95" t="s">
        <v>24</v>
      </c>
      <c r="AD140" s="97" t="s">
        <v>26</v>
      </c>
      <c r="AE140" s="97" t="s">
        <v>26</v>
      </c>
      <c r="AF140" s="97" t="s">
        <v>26</v>
      </c>
      <c r="AG140" s="97" t="s">
        <v>26</v>
      </c>
      <c r="AH140" s="97" t="s">
        <v>26</v>
      </c>
      <c r="AI140" s="98">
        <f t="shared" si="15"/>
        <v>31</v>
      </c>
      <c r="AJ140" s="98">
        <f t="shared" si="13"/>
        <v>17.62</v>
      </c>
      <c r="AK140" s="98">
        <v>9</v>
      </c>
      <c r="AL140" s="98">
        <v>4</v>
      </c>
      <c r="AM140" s="98">
        <v>0.38</v>
      </c>
      <c r="AN140" s="98"/>
      <c r="AO140" s="98"/>
      <c r="AP140" s="98"/>
      <c r="AQ140" s="98"/>
      <c r="AR140" s="98"/>
      <c r="AS140" s="98">
        <f t="shared" si="16"/>
        <v>0.38</v>
      </c>
      <c r="AT140" s="99"/>
    </row>
    <row r="141" customFormat="1" ht="34" customHeight="1" spans="1:46">
      <c r="A141" s="92">
        <f t="shared" si="14"/>
        <v>138</v>
      </c>
      <c r="B141" s="93" t="s">
        <v>224</v>
      </c>
      <c r="C141" s="94" t="s">
        <v>209</v>
      </c>
      <c r="D141" s="95" t="s">
        <v>23</v>
      </c>
      <c r="E141" s="95" t="s">
        <v>23</v>
      </c>
      <c r="F141" s="95" t="s">
        <v>23</v>
      </c>
      <c r="G141" s="95" t="s">
        <v>24</v>
      </c>
      <c r="H141" s="95" t="s">
        <v>24</v>
      </c>
      <c r="I141" s="95" t="s">
        <v>23</v>
      </c>
      <c r="J141" s="95" t="s">
        <v>24</v>
      </c>
      <c r="K141" s="95" t="s">
        <v>24</v>
      </c>
      <c r="L141" s="97" t="s">
        <v>26</v>
      </c>
      <c r="M141" s="97" t="s">
        <v>26</v>
      </c>
      <c r="N141" s="97" t="s">
        <v>26</v>
      </c>
      <c r="O141" s="95" t="s">
        <v>24</v>
      </c>
      <c r="P141" s="97" t="s">
        <v>26</v>
      </c>
      <c r="Q141" s="97" t="s">
        <v>26</v>
      </c>
      <c r="R141" s="97" t="s">
        <v>26</v>
      </c>
      <c r="S141" s="97" t="s">
        <v>26</v>
      </c>
      <c r="T141" s="97" t="s">
        <v>26</v>
      </c>
      <c r="U141" s="95" t="s">
        <v>24</v>
      </c>
      <c r="V141" s="95" t="s">
        <v>24</v>
      </c>
      <c r="W141" s="97" t="s">
        <v>26</v>
      </c>
      <c r="X141" s="97" t="s">
        <v>26</v>
      </c>
      <c r="Y141" s="97" t="s">
        <v>26</v>
      </c>
      <c r="Z141" s="97" t="s">
        <v>26</v>
      </c>
      <c r="AA141" s="97" t="s">
        <v>26</v>
      </c>
      <c r="AB141" s="95" t="s">
        <v>24</v>
      </c>
      <c r="AC141" s="95" t="s">
        <v>24</v>
      </c>
      <c r="AD141" s="97" t="s">
        <v>26</v>
      </c>
      <c r="AE141" s="97" t="s">
        <v>26</v>
      </c>
      <c r="AF141" s="97" t="s">
        <v>26</v>
      </c>
      <c r="AG141" s="97" t="s">
        <v>26</v>
      </c>
      <c r="AH141" s="97" t="s">
        <v>26</v>
      </c>
      <c r="AI141" s="98">
        <f t="shared" si="15"/>
        <v>31</v>
      </c>
      <c r="AJ141" s="98">
        <f t="shared" si="13"/>
        <v>18</v>
      </c>
      <c r="AK141" s="98">
        <v>9</v>
      </c>
      <c r="AL141" s="98">
        <v>4</v>
      </c>
      <c r="AM141" s="98">
        <v>0</v>
      </c>
      <c r="AN141" s="98"/>
      <c r="AO141" s="98"/>
      <c r="AP141" s="98"/>
      <c r="AQ141" s="98"/>
      <c r="AR141" s="98"/>
      <c r="AS141" s="98">
        <f t="shared" si="16"/>
        <v>0</v>
      </c>
      <c r="AT141" s="99"/>
    </row>
    <row r="142" customFormat="1" ht="34" customHeight="1" spans="1:46">
      <c r="A142" s="92">
        <f t="shared" si="14"/>
        <v>139</v>
      </c>
      <c r="B142" s="93" t="s">
        <v>225</v>
      </c>
      <c r="C142" s="94" t="s">
        <v>209</v>
      </c>
      <c r="D142" s="95" t="s">
        <v>23</v>
      </c>
      <c r="E142" s="95" t="s">
        <v>23</v>
      </c>
      <c r="F142" s="95" t="s">
        <v>23</v>
      </c>
      <c r="G142" s="95" t="s">
        <v>24</v>
      </c>
      <c r="H142" s="95" t="s">
        <v>24</v>
      </c>
      <c r="I142" s="95" t="s">
        <v>23</v>
      </c>
      <c r="J142" s="95" t="s">
        <v>24</v>
      </c>
      <c r="K142" s="95" t="s">
        <v>24</v>
      </c>
      <c r="L142" s="97" t="s">
        <v>26</v>
      </c>
      <c r="M142" s="97" t="s">
        <v>26</v>
      </c>
      <c r="N142" s="97" t="s">
        <v>26</v>
      </c>
      <c r="O142" s="95" t="s">
        <v>24</v>
      </c>
      <c r="P142" s="97" t="s">
        <v>26</v>
      </c>
      <c r="Q142" s="97" t="s">
        <v>26</v>
      </c>
      <c r="R142" s="97" t="s">
        <v>26</v>
      </c>
      <c r="S142" s="97" t="s">
        <v>26</v>
      </c>
      <c r="T142" s="97" t="s">
        <v>26</v>
      </c>
      <c r="U142" s="95" t="s">
        <v>24</v>
      </c>
      <c r="V142" s="95" t="s">
        <v>24</v>
      </c>
      <c r="W142" s="97" t="s">
        <v>26</v>
      </c>
      <c r="X142" s="97" t="s">
        <v>26</v>
      </c>
      <c r="Y142" s="97" t="s">
        <v>26</v>
      </c>
      <c r="Z142" s="97" t="s">
        <v>26</v>
      </c>
      <c r="AA142" s="97" t="s">
        <v>26</v>
      </c>
      <c r="AB142" s="95" t="s">
        <v>24</v>
      </c>
      <c r="AC142" s="95" t="s">
        <v>24</v>
      </c>
      <c r="AD142" s="97" t="s">
        <v>26</v>
      </c>
      <c r="AE142" s="97" t="s">
        <v>26</v>
      </c>
      <c r="AF142" s="97" t="s">
        <v>26</v>
      </c>
      <c r="AG142" s="97" t="s">
        <v>26</v>
      </c>
      <c r="AH142" s="97" t="s">
        <v>26</v>
      </c>
      <c r="AI142" s="98">
        <f t="shared" si="15"/>
        <v>31</v>
      </c>
      <c r="AJ142" s="98">
        <f t="shared" si="13"/>
        <v>18</v>
      </c>
      <c r="AK142" s="98">
        <v>9</v>
      </c>
      <c r="AL142" s="98">
        <v>4</v>
      </c>
      <c r="AM142" s="98">
        <v>0</v>
      </c>
      <c r="AN142" s="98"/>
      <c r="AO142" s="98"/>
      <c r="AP142" s="98"/>
      <c r="AQ142" s="98"/>
      <c r="AR142" s="98"/>
      <c r="AS142" s="98">
        <f t="shared" si="16"/>
        <v>0</v>
      </c>
      <c r="AT142" s="99"/>
    </row>
    <row r="143" customFormat="1" ht="34" customHeight="1" spans="1:46">
      <c r="A143" s="92">
        <f t="shared" si="14"/>
        <v>140</v>
      </c>
      <c r="B143" s="93" t="s">
        <v>226</v>
      </c>
      <c r="C143" s="94" t="s">
        <v>209</v>
      </c>
      <c r="D143" s="95" t="s">
        <v>23</v>
      </c>
      <c r="E143" s="95" t="s">
        <v>23</v>
      </c>
      <c r="F143" s="95" t="s">
        <v>23</v>
      </c>
      <c r="G143" s="95" t="s">
        <v>24</v>
      </c>
      <c r="H143" s="95" t="s">
        <v>24</v>
      </c>
      <c r="I143" s="95" t="s">
        <v>23</v>
      </c>
      <c r="J143" s="95" t="s">
        <v>24</v>
      </c>
      <c r="K143" s="95" t="s">
        <v>24</v>
      </c>
      <c r="L143" s="97" t="s">
        <v>26</v>
      </c>
      <c r="M143" s="97" t="s">
        <v>26</v>
      </c>
      <c r="N143" s="97" t="s">
        <v>26</v>
      </c>
      <c r="O143" s="95" t="s">
        <v>24</v>
      </c>
      <c r="P143" s="97" t="s">
        <v>26</v>
      </c>
      <c r="Q143" s="97" t="s">
        <v>26</v>
      </c>
      <c r="R143" s="97" t="s">
        <v>26</v>
      </c>
      <c r="S143" s="97" t="s">
        <v>26</v>
      </c>
      <c r="T143" s="97" t="s">
        <v>26</v>
      </c>
      <c r="U143" s="95" t="s">
        <v>24</v>
      </c>
      <c r="V143" s="95" t="s">
        <v>24</v>
      </c>
      <c r="W143" s="97" t="s">
        <v>26</v>
      </c>
      <c r="X143" s="97" t="s">
        <v>26</v>
      </c>
      <c r="Y143" s="97" t="s">
        <v>26</v>
      </c>
      <c r="Z143" s="97" t="s">
        <v>26</v>
      </c>
      <c r="AA143" s="97" t="s">
        <v>26</v>
      </c>
      <c r="AB143" s="95" t="s">
        <v>24</v>
      </c>
      <c r="AC143" s="95" t="s">
        <v>24</v>
      </c>
      <c r="AD143" s="97" t="s">
        <v>26</v>
      </c>
      <c r="AE143" s="97" t="s">
        <v>26</v>
      </c>
      <c r="AF143" s="97" t="s">
        <v>26</v>
      </c>
      <c r="AG143" s="97" t="s">
        <v>26</v>
      </c>
      <c r="AH143" s="100" t="s">
        <v>137</v>
      </c>
      <c r="AI143" s="98">
        <f t="shared" si="15"/>
        <v>31</v>
      </c>
      <c r="AJ143" s="98">
        <f t="shared" si="13"/>
        <v>17.75</v>
      </c>
      <c r="AK143" s="98">
        <v>9</v>
      </c>
      <c r="AL143" s="98">
        <v>4</v>
      </c>
      <c r="AM143" s="98">
        <v>0.25</v>
      </c>
      <c r="AN143" s="98"/>
      <c r="AO143" s="98"/>
      <c r="AP143" s="98"/>
      <c r="AQ143" s="98"/>
      <c r="AR143" s="98"/>
      <c r="AS143" s="98">
        <f t="shared" si="16"/>
        <v>0.25</v>
      </c>
      <c r="AT143" s="99"/>
    </row>
    <row r="144" customFormat="1" ht="34" customHeight="1" spans="1:46">
      <c r="A144" s="92">
        <f t="shared" si="14"/>
        <v>141</v>
      </c>
      <c r="B144" s="93" t="s">
        <v>227</v>
      </c>
      <c r="C144" s="94" t="s">
        <v>209</v>
      </c>
      <c r="D144" s="95" t="s">
        <v>23</v>
      </c>
      <c r="E144" s="95" t="s">
        <v>23</v>
      </c>
      <c r="F144" s="95" t="s">
        <v>23</v>
      </c>
      <c r="G144" s="95" t="s">
        <v>24</v>
      </c>
      <c r="H144" s="95" t="s">
        <v>24</v>
      </c>
      <c r="I144" s="95" t="s">
        <v>23</v>
      </c>
      <c r="J144" s="95" t="s">
        <v>24</v>
      </c>
      <c r="K144" s="95" t="s">
        <v>24</v>
      </c>
      <c r="L144" s="97" t="s">
        <v>26</v>
      </c>
      <c r="M144" s="97" t="s">
        <v>26</v>
      </c>
      <c r="N144" s="97" t="s">
        <v>26</v>
      </c>
      <c r="O144" s="95" t="s">
        <v>24</v>
      </c>
      <c r="P144" s="100" t="s">
        <v>25</v>
      </c>
      <c r="Q144" s="97" t="s">
        <v>26</v>
      </c>
      <c r="R144" s="97" t="s">
        <v>26</v>
      </c>
      <c r="S144" s="97" t="s">
        <v>26</v>
      </c>
      <c r="T144" s="97" t="s">
        <v>26</v>
      </c>
      <c r="U144" s="95" t="s">
        <v>24</v>
      </c>
      <c r="V144" s="95" t="s">
        <v>24</v>
      </c>
      <c r="W144" s="97" t="s">
        <v>26</v>
      </c>
      <c r="X144" s="97" t="s">
        <v>26</v>
      </c>
      <c r="Y144" s="97" t="s">
        <v>26</v>
      </c>
      <c r="Z144" s="97" t="s">
        <v>26</v>
      </c>
      <c r="AA144" s="97" t="s">
        <v>26</v>
      </c>
      <c r="AB144" s="95" t="s">
        <v>24</v>
      </c>
      <c r="AC144" s="95" t="s">
        <v>24</v>
      </c>
      <c r="AD144" s="97" t="s">
        <v>26</v>
      </c>
      <c r="AE144" s="97" t="s">
        <v>26</v>
      </c>
      <c r="AF144" s="97" t="s">
        <v>26</v>
      </c>
      <c r="AG144" s="97" t="s">
        <v>26</v>
      </c>
      <c r="AH144" s="97" t="s">
        <v>26</v>
      </c>
      <c r="AI144" s="98">
        <f t="shared" si="15"/>
        <v>31</v>
      </c>
      <c r="AJ144" s="98">
        <f t="shared" si="13"/>
        <v>17</v>
      </c>
      <c r="AK144" s="98">
        <v>9</v>
      </c>
      <c r="AL144" s="98">
        <v>4</v>
      </c>
      <c r="AM144" s="98">
        <v>1</v>
      </c>
      <c r="AN144" s="98"/>
      <c r="AO144" s="98"/>
      <c r="AP144" s="98"/>
      <c r="AQ144" s="98"/>
      <c r="AR144" s="98"/>
      <c r="AS144" s="98">
        <f t="shared" si="16"/>
        <v>1</v>
      </c>
      <c r="AT144" s="99"/>
    </row>
    <row r="145" customFormat="1" ht="34" customHeight="1" spans="1:46">
      <c r="A145" s="92">
        <f t="shared" si="14"/>
        <v>142</v>
      </c>
      <c r="B145" s="110" t="s">
        <v>228</v>
      </c>
      <c r="C145" s="94" t="s">
        <v>209</v>
      </c>
      <c r="D145" s="95" t="s">
        <v>23</v>
      </c>
      <c r="E145" s="95" t="s">
        <v>23</v>
      </c>
      <c r="F145" s="95" t="s">
        <v>23</v>
      </c>
      <c r="G145" s="95" t="s">
        <v>24</v>
      </c>
      <c r="H145" s="95" t="s">
        <v>24</v>
      </c>
      <c r="I145" s="95" t="s">
        <v>23</v>
      </c>
      <c r="J145" s="95" t="s">
        <v>24</v>
      </c>
      <c r="K145" s="95" t="s">
        <v>24</v>
      </c>
      <c r="L145" s="97" t="s">
        <v>26</v>
      </c>
      <c r="M145" s="97" t="s">
        <v>26</v>
      </c>
      <c r="N145" s="97" t="s">
        <v>26</v>
      </c>
      <c r="O145" s="95" t="s">
        <v>24</v>
      </c>
      <c r="P145" s="97" t="s">
        <v>26</v>
      </c>
      <c r="Q145" s="97" t="s">
        <v>26</v>
      </c>
      <c r="R145" s="97" t="s">
        <v>26</v>
      </c>
      <c r="S145" s="97" t="s">
        <v>26</v>
      </c>
      <c r="T145" s="97" t="s">
        <v>26</v>
      </c>
      <c r="U145" s="95" t="s">
        <v>24</v>
      </c>
      <c r="V145" s="95" t="s">
        <v>24</v>
      </c>
      <c r="W145" s="97" t="s">
        <v>26</v>
      </c>
      <c r="X145" s="97" t="s">
        <v>26</v>
      </c>
      <c r="Y145" s="97" t="s">
        <v>26</v>
      </c>
      <c r="Z145" s="97" t="s">
        <v>26</v>
      </c>
      <c r="AA145" s="97" t="s">
        <v>26</v>
      </c>
      <c r="AB145" s="95" t="s">
        <v>24</v>
      </c>
      <c r="AC145" s="95" t="s">
        <v>24</v>
      </c>
      <c r="AD145" s="97" t="s">
        <v>26</v>
      </c>
      <c r="AE145" s="97" t="s">
        <v>26</v>
      </c>
      <c r="AF145" s="97" t="s">
        <v>26</v>
      </c>
      <c r="AG145" s="97" t="s">
        <v>26</v>
      </c>
      <c r="AH145" s="97" t="s">
        <v>26</v>
      </c>
      <c r="AI145" s="98">
        <f t="shared" si="15"/>
        <v>31</v>
      </c>
      <c r="AJ145" s="98">
        <f t="shared" si="13"/>
        <v>18</v>
      </c>
      <c r="AK145" s="98">
        <v>9</v>
      </c>
      <c r="AL145" s="98">
        <v>4</v>
      </c>
      <c r="AM145" s="98">
        <v>0</v>
      </c>
      <c r="AN145" s="98"/>
      <c r="AO145" s="98"/>
      <c r="AP145" s="98"/>
      <c r="AQ145" s="98"/>
      <c r="AR145" s="98"/>
      <c r="AS145" s="98">
        <f t="shared" si="16"/>
        <v>0</v>
      </c>
      <c r="AT145" s="99"/>
    </row>
    <row r="146" customFormat="1" ht="34" customHeight="1" spans="1:46">
      <c r="A146" s="92">
        <f t="shared" si="14"/>
        <v>143</v>
      </c>
      <c r="B146" s="93" t="s">
        <v>229</v>
      </c>
      <c r="C146" s="94" t="s">
        <v>209</v>
      </c>
      <c r="D146" s="95" t="s">
        <v>23</v>
      </c>
      <c r="E146" s="95" t="s">
        <v>23</v>
      </c>
      <c r="F146" s="95" t="s">
        <v>23</v>
      </c>
      <c r="G146" s="95" t="s">
        <v>24</v>
      </c>
      <c r="H146" s="95" t="s">
        <v>24</v>
      </c>
      <c r="I146" s="95" t="s">
        <v>23</v>
      </c>
      <c r="J146" s="95" t="s">
        <v>24</v>
      </c>
      <c r="K146" s="95" t="s">
        <v>24</v>
      </c>
      <c r="L146" s="97" t="s">
        <v>26</v>
      </c>
      <c r="M146" s="97" t="s">
        <v>26</v>
      </c>
      <c r="N146" s="97" t="s">
        <v>26</v>
      </c>
      <c r="O146" s="95" t="s">
        <v>24</v>
      </c>
      <c r="P146" s="97" t="s">
        <v>26</v>
      </c>
      <c r="Q146" s="97" t="s">
        <v>26</v>
      </c>
      <c r="R146" s="97" t="s">
        <v>26</v>
      </c>
      <c r="S146" s="97" t="s">
        <v>26</v>
      </c>
      <c r="T146" s="97" t="s">
        <v>26</v>
      </c>
      <c r="U146" s="95" t="s">
        <v>24</v>
      </c>
      <c r="V146" s="95" t="s">
        <v>24</v>
      </c>
      <c r="W146" s="97" t="s">
        <v>26</v>
      </c>
      <c r="X146" s="97" t="s">
        <v>26</v>
      </c>
      <c r="Y146" s="97" t="s">
        <v>26</v>
      </c>
      <c r="Z146" s="97" t="s">
        <v>26</v>
      </c>
      <c r="AA146" s="97" t="s">
        <v>26</v>
      </c>
      <c r="AB146" s="95" t="s">
        <v>24</v>
      </c>
      <c r="AC146" s="95" t="s">
        <v>24</v>
      </c>
      <c r="AD146" s="97" t="s">
        <v>26</v>
      </c>
      <c r="AE146" s="97" t="s">
        <v>26</v>
      </c>
      <c r="AF146" s="97" t="s">
        <v>26</v>
      </c>
      <c r="AG146" s="97" t="s">
        <v>26</v>
      </c>
      <c r="AH146" s="97" t="s">
        <v>26</v>
      </c>
      <c r="AI146" s="98">
        <f t="shared" si="15"/>
        <v>31</v>
      </c>
      <c r="AJ146" s="98">
        <f t="shared" si="13"/>
        <v>18</v>
      </c>
      <c r="AK146" s="98">
        <v>9</v>
      </c>
      <c r="AL146" s="98">
        <v>4</v>
      </c>
      <c r="AM146" s="98">
        <v>0</v>
      </c>
      <c r="AN146" s="98"/>
      <c r="AO146" s="98"/>
      <c r="AP146" s="98"/>
      <c r="AQ146" s="98"/>
      <c r="AR146" s="98"/>
      <c r="AS146" s="98">
        <f t="shared" si="16"/>
        <v>0</v>
      </c>
      <c r="AT146" s="99"/>
    </row>
    <row r="147" customFormat="1" ht="34" customHeight="1" spans="1:46">
      <c r="A147" s="92">
        <f t="shared" si="14"/>
        <v>144</v>
      </c>
      <c r="B147" s="93" t="s">
        <v>230</v>
      </c>
      <c r="C147" s="94" t="s">
        <v>209</v>
      </c>
      <c r="D147" s="95" t="s">
        <v>23</v>
      </c>
      <c r="E147" s="95" t="s">
        <v>23</v>
      </c>
      <c r="F147" s="95" t="s">
        <v>23</v>
      </c>
      <c r="G147" s="95" t="s">
        <v>24</v>
      </c>
      <c r="H147" s="95" t="s">
        <v>24</v>
      </c>
      <c r="I147" s="95" t="s">
        <v>23</v>
      </c>
      <c r="J147" s="95" t="s">
        <v>24</v>
      </c>
      <c r="K147" s="95" t="s">
        <v>24</v>
      </c>
      <c r="L147" s="97" t="s">
        <v>26</v>
      </c>
      <c r="M147" s="97" t="s">
        <v>26</v>
      </c>
      <c r="N147" s="97" t="s">
        <v>26</v>
      </c>
      <c r="O147" s="95" t="s">
        <v>24</v>
      </c>
      <c r="P147" s="100" t="s">
        <v>25</v>
      </c>
      <c r="Q147" s="97" t="s">
        <v>26</v>
      </c>
      <c r="R147" s="97" t="s">
        <v>26</v>
      </c>
      <c r="S147" s="97" t="s">
        <v>26</v>
      </c>
      <c r="T147" s="97" t="s">
        <v>26</v>
      </c>
      <c r="U147" s="95" t="s">
        <v>24</v>
      </c>
      <c r="V147" s="95" t="s">
        <v>24</v>
      </c>
      <c r="W147" s="97" t="s">
        <v>26</v>
      </c>
      <c r="X147" s="97" t="s">
        <v>26</v>
      </c>
      <c r="Y147" s="97" t="s">
        <v>26</v>
      </c>
      <c r="Z147" s="97" t="s">
        <v>26</v>
      </c>
      <c r="AA147" s="97" t="s">
        <v>26</v>
      </c>
      <c r="AB147" s="95" t="s">
        <v>24</v>
      </c>
      <c r="AC147" s="95" t="s">
        <v>24</v>
      </c>
      <c r="AD147" s="97" t="s">
        <v>26</v>
      </c>
      <c r="AE147" s="97" t="s">
        <v>26</v>
      </c>
      <c r="AF147" s="97" t="s">
        <v>26</v>
      </c>
      <c r="AG147" s="97" t="s">
        <v>26</v>
      </c>
      <c r="AH147" s="97" t="s">
        <v>26</v>
      </c>
      <c r="AI147" s="98">
        <f t="shared" si="15"/>
        <v>31</v>
      </c>
      <c r="AJ147" s="98">
        <f t="shared" si="13"/>
        <v>17</v>
      </c>
      <c r="AK147" s="98">
        <v>9</v>
      </c>
      <c r="AL147" s="98">
        <v>4</v>
      </c>
      <c r="AM147" s="98">
        <v>1</v>
      </c>
      <c r="AN147" s="98"/>
      <c r="AO147" s="98"/>
      <c r="AP147" s="98"/>
      <c r="AQ147" s="98"/>
      <c r="AR147" s="98"/>
      <c r="AS147" s="98">
        <f t="shared" si="16"/>
        <v>1</v>
      </c>
      <c r="AT147" s="99"/>
    </row>
    <row r="148" customFormat="1" ht="34" customHeight="1" spans="1:46">
      <c r="A148" s="92">
        <f t="shared" si="14"/>
        <v>145</v>
      </c>
      <c r="B148" s="93" t="s">
        <v>231</v>
      </c>
      <c r="C148" s="94" t="s">
        <v>209</v>
      </c>
      <c r="D148" s="95" t="s">
        <v>23</v>
      </c>
      <c r="E148" s="95" t="s">
        <v>23</v>
      </c>
      <c r="F148" s="95" t="s">
        <v>23</v>
      </c>
      <c r="G148" s="95" t="s">
        <v>24</v>
      </c>
      <c r="H148" s="95" t="s">
        <v>24</v>
      </c>
      <c r="I148" s="95" t="s">
        <v>23</v>
      </c>
      <c r="J148" s="95" t="s">
        <v>24</v>
      </c>
      <c r="K148" s="95" t="s">
        <v>24</v>
      </c>
      <c r="L148" s="97" t="s">
        <v>26</v>
      </c>
      <c r="M148" s="97" t="s">
        <v>26</v>
      </c>
      <c r="N148" s="97" t="s">
        <v>26</v>
      </c>
      <c r="O148" s="95" t="s">
        <v>24</v>
      </c>
      <c r="P148" s="97" t="s">
        <v>26</v>
      </c>
      <c r="Q148" s="97" t="s">
        <v>26</v>
      </c>
      <c r="R148" s="97" t="s">
        <v>26</v>
      </c>
      <c r="S148" s="97" t="s">
        <v>26</v>
      </c>
      <c r="T148" s="97" t="s">
        <v>26</v>
      </c>
      <c r="U148" s="95" t="s">
        <v>24</v>
      </c>
      <c r="V148" s="95" t="s">
        <v>24</v>
      </c>
      <c r="W148" s="97" t="s">
        <v>26</v>
      </c>
      <c r="X148" s="97" t="s">
        <v>26</v>
      </c>
      <c r="Y148" s="97" t="s">
        <v>26</v>
      </c>
      <c r="Z148" s="97" t="s">
        <v>26</v>
      </c>
      <c r="AA148" s="97" t="s">
        <v>26</v>
      </c>
      <c r="AB148" s="95" t="s">
        <v>24</v>
      </c>
      <c r="AC148" s="95" t="s">
        <v>24</v>
      </c>
      <c r="AD148" s="97" t="s">
        <v>26</v>
      </c>
      <c r="AE148" s="96" t="s">
        <v>134</v>
      </c>
      <c r="AF148" s="97" t="s">
        <v>26</v>
      </c>
      <c r="AG148" s="97" t="s">
        <v>26</v>
      </c>
      <c r="AH148" s="97" t="s">
        <v>26</v>
      </c>
      <c r="AI148" s="98">
        <f t="shared" si="15"/>
        <v>31</v>
      </c>
      <c r="AJ148" s="98">
        <f t="shared" si="13"/>
        <v>17.75</v>
      </c>
      <c r="AK148" s="98">
        <v>9</v>
      </c>
      <c r="AL148" s="98">
        <v>4</v>
      </c>
      <c r="AM148" s="98">
        <v>0.25</v>
      </c>
      <c r="AN148" s="98"/>
      <c r="AO148" s="98">
        <v>0.25</v>
      </c>
      <c r="AP148" s="98"/>
      <c r="AQ148" s="98"/>
      <c r="AR148" s="98"/>
      <c r="AS148" s="98">
        <f t="shared" si="16"/>
        <v>0</v>
      </c>
      <c r="AT148" s="99" t="s">
        <v>135</v>
      </c>
    </row>
    <row r="149" customFormat="1" ht="34" customHeight="1" spans="1:46">
      <c r="A149" s="92">
        <f t="shared" si="14"/>
        <v>146</v>
      </c>
      <c r="B149" s="93" t="s">
        <v>232</v>
      </c>
      <c r="C149" s="94" t="s">
        <v>209</v>
      </c>
      <c r="D149" s="95" t="s">
        <v>23</v>
      </c>
      <c r="E149" s="95" t="s">
        <v>23</v>
      </c>
      <c r="F149" s="95" t="s">
        <v>23</v>
      </c>
      <c r="G149" s="95" t="s">
        <v>24</v>
      </c>
      <c r="H149" s="95" t="s">
        <v>24</v>
      </c>
      <c r="I149" s="95" t="s">
        <v>23</v>
      </c>
      <c r="J149" s="95" t="s">
        <v>24</v>
      </c>
      <c r="K149" s="95" t="s">
        <v>24</v>
      </c>
      <c r="L149" s="97" t="s">
        <v>26</v>
      </c>
      <c r="M149" s="97" t="s">
        <v>26</v>
      </c>
      <c r="N149" s="97" t="s">
        <v>26</v>
      </c>
      <c r="O149" s="95" t="s">
        <v>24</v>
      </c>
      <c r="P149" s="97" t="s">
        <v>26</v>
      </c>
      <c r="Q149" s="97" t="s">
        <v>26</v>
      </c>
      <c r="R149" s="97" t="s">
        <v>26</v>
      </c>
      <c r="S149" s="97" t="s">
        <v>26</v>
      </c>
      <c r="T149" s="96" t="s">
        <v>88</v>
      </c>
      <c r="U149" s="95" t="s">
        <v>24</v>
      </c>
      <c r="V149" s="95" t="s">
        <v>24</v>
      </c>
      <c r="W149" s="97" t="s">
        <v>26</v>
      </c>
      <c r="X149" s="97" t="s">
        <v>26</v>
      </c>
      <c r="Y149" s="97" t="s">
        <v>26</v>
      </c>
      <c r="Z149" s="97" t="s">
        <v>26</v>
      </c>
      <c r="AA149" s="97" t="s">
        <v>26</v>
      </c>
      <c r="AB149" s="95" t="s">
        <v>24</v>
      </c>
      <c r="AC149" s="95" t="s">
        <v>24</v>
      </c>
      <c r="AD149" s="97" t="s">
        <v>26</v>
      </c>
      <c r="AE149" s="97" t="s">
        <v>26</v>
      </c>
      <c r="AF149" s="97" t="s">
        <v>26</v>
      </c>
      <c r="AG149" s="97" t="s">
        <v>26</v>
      </c>
      <c r="AH149" s="97" t="s">
        <v>26</v>
      </c>
      <c r="AI149" s="98">
        <f t="shared" si="15"/>
        <v>31</v>
      </c>
      <c r="AJ149" s="98">
        <f t="shared" si="13"/>
        <v>17</v>
      </c>
      <c r="AK149" s="98">
        <v>9</v>
      </c>
      <c r="AL149" s="98">
        <v>4</v>
      </c>
      <c r="AM149" s="98">
        <v>1</v>
      </c>
      <c r="AN149" s="98"/>
      <c r="AO149" s="98">
        <v>1</v>
      </c>
      <c r="AP149" s="98"/>
      <c r="AQ149" s="98"/>
      <c r="AR149" s="98"/>
      <c r="AS149" s="98">
        <f t="shared" si="16"/>
        <v>0</v>
      </c>
      <c r="AT149" s="99" t="s">
        <v>89</v>
      </c>
    </row>
    <row r="150" customFormat="1" ht="34" customHeight="1" spans="1:46">
      <c r="A150" s="92">
        <f t="shared" si="14"/>
        <v>147</v>
      </c>
      <c r="B150" s="93" t="s">
        <v>233</v>
      </c>
      <c r="C150" s="94" t="s">
        <v>209</v>
      </c>
      <c r="D150" s="95" t="s">
        <v>23</v>
      </c>
      <c r="E150" s="95" t="s">
        <v>23</v>
      </c>
      <c r="F150" s="95" t="s">
        <v>23</v>
      </c>
      <c r="G150" s="95" t="s">
        <v>24</v>
      </c>
      <c r="H150" s="95" t="s">
        <v>24</v>
      </c>
      <c r="I150" s="95" t="s">
        <v>23</v>
      </c>
      <c r="J150" s="95" t="s">
        <v>24</v>
      </c>
      <c r="K150" s="95" t="s">
        <v>24</v>
      </c>
      <c r="L150" s="97" t="s">
        <v>26</v>
      </c>
      <c r="M150" s="97" t="s">
        <v>26</v>
      </c>
      <c r="N150" s="97" t="s">
        <v>26</v>
      </c>
      <c r="O150" s="95" t="s">
        <v>24</v>
      </c>
      <c r="P150" s="97" t="s">
        <v>26</v>
      </c>
      <c r="Q150" s="97" t="s">
        <v>26</v>
      </c>
      <c r="R150" s="97" t="s">
        <v>26</v>
      </c>
      <c r="S150" s="97" t="s">
        <v>26</v>
      </c>
      <c r="T150" s="97" t="s">
        <v>26</v>
      </c>
      <c r="U150" s="95" t="s">
        <v>24</v>
      </c>
      <c r="V150" s="95" t="s">
        <v>24</v>
      </c>
      <c r="W150" s="97" t="s">
        <v>26</v>
      </c>
      <c r="X150" s="97" t="s">
        <v>26</v>
      </c>
      <c r="Y150" s="97" t="s">
        <v>26</v>
      </c>
      <c r="Z150" s="97" t="s">
        <v>26</v>
      </c>
      <c r="AA150" s="97" t="s">
        <v>26</v>
      </c>
      <c r="AB150" s="95" t="s">
        <v>24</v>
      </c>
      <c r="AC150" s="95" t="s">
        <v>24</v>
      </c>
      <c r="AD150" s="97" t="s">
        <v>26</v>
      </c>
      <c r="AE150" s="97" t="s">
        <v>26</v>
      </c>
      <c r="AF150" s="97" t="s">
        <v>26</v>
      </c>
      <c r="AG150" s="97" t="s">
        <v>26</v>
      </c>
      <c r="AH150" s="97" t="s">
        <v>26</v>
      </c>
      <c r="AI150" s="98">
        <f t="shared" si="15"/>
        <v>31</v>
      </c>
      <c r="AJ150" s="98">
        <f t="shared" si="13"/>
        <v>18</v>
      </c>
      <c r="AK150" s="98">
        <v>9</v>
      </c>
      <c r="AL150" s="98">
        <v>4</v>
      </c>
      <c r="AM150" s="98">
        <v>0</v>
      </c>
      <c r="AN150" s="98"/>
      <c r="AO150" s="98"/>
      <c r="AP150" s="98"/>
      <c r="AQ150" s="98"/>
      <c r="AR150" s="98"/>
      <c r="AS150" s="98">
        <f t="shared" si="16"/>
        <v>0</v>
      </c>
      <c r="AT150" s="99"/>
    </row>
    <row r="151" customFormat="1" ht="34" customHeight="1" spans="1:46">
      <c r="A151" s="92">
        <f t="shared" si="14"/>
        <v>148</v>
      </c>
      <c r="B151" s="93" t="s">
        <v>234</v>
      </c>
      <c r="C151" s="94" t="s">
        <v>235</v>
      </c>
      <c r="D151" s="95" t="s">
        <v>23</v>
      </c>
      <c r="E151" s="95" t="s">
        <v>23</v>
      </c>
      <c r="F151" s="95" t="s">
        <v>23</v>
      </c>
      <c r="G151" s="95" t="s">
        <v>24</v>
      </c>
      <c r="H151" s="95" t="s">
        <v>24</v>
      </c>
      <c r="I151" s="95" t="s">
        <v>23</v>
      </c>
      <c r="J151" s="95" t="s">
        <v>24</v>
      </c>
      <c r="K151" s="95" t="s">
        <v>24</v>
      </c>
      <c r="L151" s="97" t="s">
        <v>26</v>
      </c>
      <c r="M151" s="97" t="s">
        <v>26</v>
      </c>
      <c r="N151" s="97" t="s">
        <v>26</v>
      </c>
      <c r="O151" s="95" t="s">
        <v>24</v>
      </c>
      <c r="P151" s="97" t="s">
        <v>26</v>
      </c>
      <c r="Q151" s="97" t="s">
        <v>26</v>
      </c>
      <c r="R151" s="97" t="s">
        <v>26</v>
      </c>
      <c r="S151" s="97" t="s">
        <v>26</v>
      </c>
      <c r="T151" s="97" t="s">
        <v>26</v>
      </c>
      <c r="U151" s="95" t="s">
        <v>24</v>
      </c>
      <c r="V151" s="95" t="s">
        <v>24</v>
      </c>
      <c r="W151" s="97" t="s">
        <v>26</v>
      </c>
      <c r="X151" s="97" t="s">
        <v>26</v>
      </c>
      <c r="Y151" s="97" t="s">
        <v>26</v>
      </c>
      <c r="Z151" s="97" t="s">
        <v>26</v>
      </c>
      <c r="AA151" s="97" t="s">
        <v>26</v>
      </c>
      <c r="AB151" s="95" t="s">
        <v>24</v>
      </c>
      <c r="AC151" s="95" t="s">
        <v>24</v>
      </c>
      <c r="AD151" s="97" t="s">
        <v>26</v>
      </c>
      <c r="AE151" s="97" t="s">
        <v>26</v>
      </c>
      <c r="AF151" s="97" t="s">
        <v>26</v>
      </c>
      <c r="AG151" s="97" t="s">
        <v>26</v>
      </c>
      <c r="AH151" s="97" t="s">
        <v>26</v>
      </c>
      <c r="AI151" s="98">
        <f t="shared" si="15"/>
        <v>31</v>
      </c>
      <c r="AJ151" s="98">
        <f t="shared" si="13"/>
        <v>18</v>
      </c>
      <c r="AK151" s="98">
        <v>9</v>
      </c>
      <c r="AL151" s="98">
        <v>4</v>
      </c>
      <c r="AM151" s="98">
        <v>0</v>
      </c>
      <c r="AN151" s="98"/>
      <c r="AO151" s="98"/>
      <c r="AP151" s="98"/>
      <c r="AQ151" s="98"/>
      <c r="AR151" s="98"/>
      <c r="AS151" s="98">
        <f t="shared" si="16"/>
        <v>0</v>
      </c>
      <c r="AT151" s="99"/>
    </row>
    <row r="152" customFormat="1" ht="34" customHeight="1" spans="1:46">
      <c r="A152" s="92">
        <f t="shared" si="14"/>
        <v>149</v>
      </c>
      <c r="B152" s="106" t="s">
        <v>236</v>
      </c>
      <c r="C152" s="94" t="s">
        <v>235</v>
      </c>
      <c r="D152" s="95" t="s">
        <v>23</v>
      </c>
      <c r="E152" s="95" t="s">
        <v>23</v>
      </c>
      <c r="F152" s="95" t="s">
        <v>23</v>
      </c>
      <c r="G152" s="95" t="s">
        <v>24</v>
      </c>
      <c r="H152" s="95" t="s">
        <v>24</v>
      </c>
      <c r="I152" s="95" t="s">
        <v>23</v>
      </c>
      <c r="J152" s="95" t="s">
        <v>24</v>
      </c>
      <c r="K152" s="95" t="s">
        <v>24</v>
      </c>
      <c r="L152" s="97" t="s">
        <v>26</v>
      </c>
      <c r="M152" s="97" t="s">
        <v>26</v>
      </c>
      <c r="N152" s="97" t="s">
        <v>26</v>
      </c>
      <c r="O152" s="95" t="s">
        <v>24</v>
      </c>
      <c r="P152" s="97" t="s">
        <v>26</v>
      </c>
      <c r="Q152" s="97" t="s">
        <v>26</v>
      </c>
      <c r="R152" s="97" t="s">
        <v>26</v>
      </c>
      <c r="S152" s="97" t="s">
        <v>26</v>
      </c>
      <c r="T152" s="100" t="s">
        <v>25</v>
      </c>
      <c r="U152" s="95" t="s">
        <v>24</v>
      </c>
      <c r="V152" s="95" t="s">
        <v>24</v>
      </c>
      <c r="W152" s="97" t="s">
        <v>26</v>
      </c>
      <c r="X152" s="97" t="s">
        <v>26</v>
      </c>
      <c r="Y152" s="97" t="s">
        <v>26</v>
      </c>
      <c r="Z152" s="97" t="s">
        <v>26</v>
      </c>
      <c r="AA152" s="97" t="s">
        <v>26</v>
      </c>
      <c r="AB152" s="95" t="s">
        <v>24</v>
      </c>
      <c r="AC152" s="95" t="s">
        <v>24</v>
      </c>
      <c r="AD152" s="97" t="s">
        <v>26</v>
      </c>
      <c r="AE152" s="97" t="s">
        <v>26</v>
      </c>
      <c r="AF152" s="97" t="s">
        <v>26</v>
      </c>
      <c r="AG152" s="97" t="s">
        <v>26</v>
      </c>
      <c r="AH152" s="97" t="s">
        <v>26</v>
      </c>
      <c r="AI152" s="98">
        <f t="shared" si="15"/>
        <v>31</v>
      </c>
      <c r="AJ152" s="98">
        <f t="shared" si="13"/>
        <v>17</v>
      </c>
      <c r="AK152" s="98">
        <v>9</v>
      </c>
      <c r="AL152" s="98">
        <v>4</v>
      </c>
      <c r="AM152" s="98">
        <v>1</v>
      </c>
      <c r="AN152" s="98"/>
      <c r="AO152" s="98"/>
      <c r="AP152" s="98"/>
      <c r="AQ152" s="98"/>
      <c r="AR152" s="98"/>
      <c r="AS152" s="98">
        <f t="shared" si="16"/>
        <v>1</v>
      </c>
      <c r="AT152" s="99" t="s">
        <v>237</v>
      </c>
    </row>
    <row r="153" customFormat="1" ht="34" customHeight="1" spans="1:46">
      <c r="A153" s="92">
        <f t="shared" si="14"/>
        <v>150</v>
      </c>
      <c r="B153" s="101" t="s">
        <v>238</v>
      </c>
      <c r="C153" s="94" t="s">
        <v>235</v>
      </c>
      <c r="D153" s="102" t="s">
        <v>34</v>
      </c>
      <c r="E153" s="102" t="s">
        <v>34</v>
      </c>
      <c r="F153" s="102" t="s">
        <v>34</v>
      </c>
      <c r="G153" s="102" t="s">
        <v>34</v>
      </c>
      <c r="H153" s="102" t="s">
        <v>34</v>
      </c>
      <c r="I153" s="102" t="s">
        <v>34</v>
      </c>
      <c r="J153" s="102" t="s">
        <v>34</v>
      </c>
      <c r="K153" s="102" t="s">
        <v>34</v>
      </c>
      <c r="L153" s="102" t="s">
        <v>34</v>
      </c>
      <c r="M153" s="102" t="s">
        <v>34</v>
      </c>
      <c r="N153" s="102" t="s">
        <v>34</v>
      </c>
      <c r="O153" s="102" t="s">
        <v>34</v>
      </c>
      <c r="P153" s="102" t="s">
        <v>34</v>
      </c>
      <c r="Q153" s="102" t="s">
        <v>34</v>
      </c>
      <c r="R153" s="102" t="s">
        <v>34</v>
      </c>
      <c r="S153" s="102" t="s">
        <v>34</v>
      </c>
      <c r="T153" s="102" t="s">
        <v>34</v>
      </c>
      <c r="U153" s="102" t="s">
        <v>34</v>
      </c>
      <c r="V153" s="102" t="s">
        <v>34</v>
      </c>
      <c r="W153" s="102" t="s">
        <v>34</v>
      </c>
      <c r="X153" s="102" t="s">
        <v>34</v>
      </c>
      <c r="Y153" s="102" t="s">
        <v>34</v>
      </c>
      <c r="Z153" s="97" t="s">
        <v>26</v>
      </c>
      <c r="AA153" s="97" t="s">
        <v>26</v>
      </c>
      <c r="AB153" s="95" t="s">
        <v>24</v>
      </c>
      <c r="AC153" s="95" t="s">
        <v>24</v>
      </c>
      <c r="AD153" s="97" t="s">
        <v>26</v>
      </c>
      <c r="AE153" s="97" t="s">
        <v>26</v>
      </c>
      <c r="AF153" s="97" t="s">
        <v>26</v>
      </c>
      <c r="AG153" s="97" t="s">
        <v>26</v>
      </c>
      <c r="AH153" s="97" t="s">
        <v>26</v>
      </c>
      <c r="AI153" s="98">
        <f t="shared" si="15"/>
        <v>31</v>
      </c>
      <c r="AJ153" s="98">
        <f t="shared" si="13"/>
        <v>7</v>
      </c>
      <c r="AK153" s="98">
        <v>9</v>
      </c>
      <c r="AL153" s="98">
        <v>4</v>
      </c>
      <c r="AM153" s="98">
        <v>11</v>
      </c>
      <c r="AN153" s="98"/>
      <c r="AO153" s="98"/>
      <c r="AP153" s="98"/>
      <c r="AQ153" s="98"/>
      <c r="AR153" s="98">
        <v>4</v>
      </c>
      <c r="AS153" s="98">
        <f t="shared" si="16"/>
        <v>15</v>
      </c>
      <c r="AT153" s="99" t="s">
        <v>239</v>
      </c>
    </row>
    <row r="154" customFormat="1" ht="34" customHeight="1" spans="1:46">
      <c r="A154" s="92">
        <f t="shared" si="14"/>
        <v>151</v>
      </c>
      <c r="B154" s="93" t="s">
        <v>240</v>
      </c>
      <c r="C154" s="94" t="s">
        <v>241</v>
      </c>
      <c r="D154" s="95" t="s">
        <v>23</v>
      </c>
      <c r="E154" s="95" t="s">
        <v>23</v>
      </c>
      <c r="F154" s="95" t="s">
        <v>23</v>
      </c>
      <c r="G154" s="95" t="s">
        <v>24</v>
      </c>
      <c r="H154" s="95" t="s">
        <v>24</v>
      </c>
      <c r="I154" s="95" t="s">
        <v>23</v>
      </c>
      <c r="J154" s="95" t="s">
        <v>24</v>
      </c>
      <c r="K154" s="95" t="s">
        <v>24</v>
      </c>
      <c r="L154" s="97" t="s">
        <v>26</v>
      </c>
      <c r="M154" s="97" t="s">
        <v>26</v>
      </c>
      <c r="N154" s="97" t="s">
        <v>26</v>
      </c>
      <c r="O154" s="95" t="s">
        <v>24</v>
      </c>
      <c r="P154" s="97" t="s">
        <v>26</v>
      </c>
      <c r="Q154" s="97" t="s">
        <v>26</v>
      </c>
      <c r="R154" s="97" t="s">
        <v>26</v>
      </c>
      <c r="S154" s="97" t="s">
        <v>26</v>
      </c>
      <c r="T154" s="97" t="s">
        <v>26</v>
      </c>
      <c r="U154" s="95" t="s">
        <v>24</v>
      </c>
      <c r="V154" s="95" t="s">
        <v>24</v>
      </c>
      <c r="W154" s="97" t="s">
        <v>26</v>
      </c>
      <c r="X154" s="97" t="s">
        <v>26</v>
      </c>
      <c r="Y154" s="97" t="s">
        <v>26</v>
      </c>
      <c r="Z154" s="97" t="s">
        <v>26</v>
      </c>
      <c r="AA154" s="97" t="s">
        <v>26</v>
      </c>
      <c r="AB154" s="95" t="s">
        <v>24</v>
      </c>
      <c r="AC154" s="95" t="s">
        <v>24</v>
      </c>
      <c r="AD154" s="100" t="s">
        <v>25</v>
      </c>
      <c r="AE154" s="97" t="s">
        <v>26</v>
      </c>
      <c r="AF154" s="97" t="s">
        <v>26</v>
      </c>
      <c r="AG154" s="97" t="s">
        <v>26</v>
      </c>
      <c r="AH154" s="97" t="s">
        <v>26</v>
      </c>
      <c r="AI154" s="98">
        <f t="shared" si="15"/>
        <v>31</v>
      </c>
      <c r="AJ154" s="98">
        <f t="shared" si="13"/>
        <v>17</v>
      </c>
      <c r="AK154" s="98">
        <v>9</v>
      </c>
      <c r="AL154" s="98">
        <v>4</v>
      </c>
      <c r="AM154" s="98">
        <v>1</v>
      </c>
      <c r="AN154" s="98"/>
      <c r="AO154" s="98"/>
      <c r="AP154" s="98"/>
      <c r="AQ154" s="98"/>
      <c r="AR154" s="98"/>
      <c r="AS154" s="98">
        <f t="shared" si="16"/>
        <v>1</v>
      </c>
      <c r="AT154" s="99"/>
    </row>
    <row r="155" customFormat="1" ht="34" customHeight="1" spans="1:46">
      <c r="A155" s="92">
        <f t="shared" si="14"/>
        <v>152</v>
      </c>
      <c r="B155" s="93" t="s">
        <v>242</v>
      </c>
      <c r="C155" s="94" t="s">
        <v>241</v>
      </c>
      <c r="D155" s="95" t="s">
        <v>23</v>
      </c>
      <c r="E155" s="95" t="s">
        <v>23</v>
      </c>
      <c r="F155" s="95" t="s">
        <v>23</v>
      </c>
      <c r="G155" s="95" t="s">
        <v>24</v>
      </c>
      <c r="H155" s="95" t="s">
        <v>24</v>
      </c>
      <c r="I155" s="95" t="s">
        <v>23</v>
      </c>
      <c r="J155" s="95" t="s">
        <v>24</v>
      </c>
      <c r="K155" s="95" t="s">
        <v>24</v>
      </c>
      <c r="L155" s="97" t="s">
        <v>26</v>
      </c>
      <c r="M155" s="97" t="s">
        <v>26</v>
      </c>
      <c r="N155" s="97" t="s">
        <v>26</v>
      </c>
      <c r="O155" s="95" t="s">
        <v>24</v>
      </c>
      <c r="P155" s="97" t="s">
        <v>26</v>
      </c>
      <c r="Q155" s="97" t="s">
        <v>26</v>
      </c>
      <c r="R155" s="97" t="s">
        <v>26</v>
      </c>
      <c r="S155" s="97" t="s">
        <v>26</v>
      </c>
      <c r="T155" s="97" t="s">
        <v>26</v>
      </c>
      <c r="U155" s="95" t="s">
        <v>24</v>
      </c>
      <c r="V155" s="95" t="s">
        <v>24</v>
      </c>
      <c r="W155" s="97" t="s">
        <v>26</v>
      </c>
      <c r="X155" s="97" t="s">
        <v>26</v>
      </c>
      <c r="Y155" s="97" t="s">
        <v>26</v>
      </c>
      <c r="Z155" s="97" t="s">
        <v>26</v>
      </c>
      <c r="AA155" s="97" t="s">
        <v>26</v>
      </c>
      <c r="AB155" s="95" t="s">
        <v>24</v>
      </c>
      <c r="AC155" s="95" t="s">
        <v>24</v>
      </c>
      <c r="AD155" s="97" t="s">
        <v>26</v>
      </c>
      <c r="AE155" s="97" t="s">
        <v>26</v>
      </c>
      <c r="AF155" s="97" t="s">
        <v>26</v>
      </c>
      <c r="AG155" s="97" t="s">
        <v>26</v>
      </c>
      <c r="AH155" s="97" t="s">
        <v>26</v>
      </c>
      <c r="AI155" s="98">
        <f t="shared" si="15"/>
        <v>31</v>
      </c>
      <c r="AJ155" s="98">
        <f t="shared" si="13"/>
        <v>18</v>
      </c>
      <c r="AK155" s="98">
        <v>9</v>
      </c>
      <c r="AL155" s="98">
        <v>4</v>
      </c>
      <c r="AM155" s="98">
        <v>0</v>
      </c>
      <c r="AN155" s="98"/>
      <c r="AO155" s="98"/>
      <c r="AP155" s="98"/>
      <c r="AQ155" s="98"/>
      <c r="AR155" s="98"/>
      <c r="AS155" s="98">
        <f t="shared" si="16"/>
        <v>0</v>
      </c>
      <c r="AT155" s="99"/>
    </row>
    <row r="156" customFormat="1" ht="34" customHeight="1" spans="1:46">
      <c r="A156" s="92">
        <f t="shared" si="14"/>
        <v>153</v>
      </c>
      <c r="B156" s="93" t="s">
        <v>243</v>
      </c>
      <c r="C156" s="94" t="s">
        <v>241</v>
      </c>
      <c r="D156" s="95" t="s">
        <v>23</v>
      </c>
      <c r="E156" s="95" t="s">
        <v>23</v>
      </c>
      <c r="F156" s="95" t="s">
        <v>23</v>
      </c>
      <c r="G156" s="95" t="s">
        <v>24</v>
      </c>
      <c r="H156" s="95" t="s">
        <v>24</v>
      </c>
      <c r="I156" s="95" t="s">
        <v>23</v>
      </c>
      <c r="J156" s="95" t="s">
        <v>24</v>
      </c>
      <c r="K156" s="95" t="s">
        <v>24</v>
      </c>
      <c r="L156" s="97" t="s">
        <v>26</v>
      </c>
      <c r="M156" s="97" t="s">
        <v>26</v>
      </c>
      <c r="N156" s="97" t="s">
        <v>26</v>
      </c>
      <c r="O156" s="95" t="s">
        <v>24</v>
      </c>
      <c r="P156" s="97" t="s">
        <v>26</v>
      </c>
      <c r="Q156" s="97" t="s">
        <v>26</v>
      </c>
      <c r="R156" s="97" t="s">
        <v>26</v>
      </c>
      <c r="S156" s="97" t="s">
        <v>26</v>
      </c>
      <c r="T156" s="97" t="s">
        <v>26</v>
      </c>
      <c r="U156" s="95" t="s">
        <v>24</v>
      </c>
      <c r="V156" s="95" t="s">
        <v>24</v>
      </c>
      <c r="W156" s="97" t="s">
        <v>26</v>
      </c>
      <c r="X156" s="97" t="s">
        <v>26</v>
      </c>
      <c r="Y156" s="97" t="s">
        <v>26</v>
      </c>
      <c r="Z156" s="97" t="s">
        <v>26</v>
      </c>
      <c r="AA156" s="97" t="s">
        <v>26</v>
      </c>
      <c r="AB156" s="95" t="s">
        <v>24</v>
      </c>
      <c r="AC156" s="95" t="s">
        <v>24</v>
      </c>
      <c r="AD156" s="97" t="s">
        <v>26</v>
      </c>
      <c r="AE156" s="97" t="s">
        <v>26</v>
      </c>
      <c r="AF156" s="97" t="s">
        <v>26</v>
      </c>
      <c r="AG156" s="97" t="s">
        <v>26</v>
      </c>
      <c r="AH156" s="97" t="s">
        <v>26</v>
      </c>
      <c r="AI156" s="98">
        <f t="shared" si="15"/>
        <v>31</v>
      </c>
      <c r="AJ156" s="98">
        <f t="shared" si="13"/>
        <v>18</v>
      </c>
      <c r="AK156" s="98">
        <v>9</v>
      </c>
      <c r="AL156" s="98">
        <v>4</v>
      </c>
      <c r="AM156" s="98">
        <v>0</v>
      </c>
      <c r="AN156" s="98"/>
      <c r="AO156" s="98"/>
      <c r="AP156" s="98"/>
      <c r="AQ156" s="98"/>
      <c r="AR156" s="98"/>
      <c r="AS156" s="98">
        <f t="shared" si="16"/>
        <v>0</v>
      </c>
      <c r="AT156" s="99"/>
    </row>
    <row r="157" customFormat="1" ht="34" customHeight="1" spans="1:46">
      <c r="A157" s="92">
        <f t="shared" si="14"/>
        <v>154</v>
      </c>
      <c r="B157" s="93" t="s">
        <v>244</v>
      </c>
      <c r="C157" s="94" t="s">
        <v>241</v>
      </c>
      <c r="D157" s="95" t="s">
        <v>23</v>
      </c>
      <c r="E157" s="95" t="s">
        <v>23</v>
      </c>
      <c r="F157" s="95" t="s">
        <v>23</v>
      </c>
      <c r="G157" s="95" t="s">
        <v>24</v>
      </c>
      <c r="H157" s="95" t="s">
        <v>24</v>
      </c>
      <c r="I157" s="95" t="s">
        <v>23</v>
      </c>
      <c r="J157" s="95" t="s">
        <v>24</v>
      </c>
      <c r="K157" s="95" t="s">
        <v>24</v>
      </c>
      <c r="L157" s="97" t="s">
        <v>26</v>
      </c>
      <c r="M157" s="97" t="s">
        <v>26</v>
      </c>
      <c r="N157" s="97" t="s">
        <v>26</v>
      </c>
      <c r="O157" s="95" t="s">
        <v>24</v>
      </c>
      <c r="P157" s="97" t="s">
        <v>26</v>
      </c>
      <c r="Q157" s="97" t="s">
        <v>26</v>
      </c>
      <c r="R157" s="97" t="s">
        <v>26</v>
      </c>
      <c r="S157" s="97" t="s">
        <v>26</v>
      </c>
      <c r="T157" s="97" t="s">
        <v>26</v>
      </c>
      <c r="U157" s="95" t="s">
        <v>24</v>
      </c>
      <c r="V157" s="95" t="s">
        <v>24</v>
      </c>
      <c r="W157" s="97" t="s">
        <v>26</v>
      </c>
      <c r="X157" s="97" t="s">
        <v>26</v>
      </c>
      <c r="Y157" s="97" t="s">
        <v>26</v>
      </c>
      <c r="Z157" s="97" t="s">
        <v>26</v>
      </c>
      <c r="AA157" s="97" t="s">
        <v>26</v>
      </c>
      <c r="AB157" s="95" t="s">
        <v>24</v>
      </c>
      <c r="AC157" s="95" t="s">
        <v>24</v>
      </c>
      <c r="AD157" s="97" t="s">
        <v>26</v>
      </c>
      <c r="AE157" s="97" t="s">
        <v>26</v>
      </c>
      <c r="AF157" s="97" t="s">
        <v>26</v>
      </c>
      <c r="AG157" s="97" t="s">
        <v>26</v>
      </c>
      <c r="AH157" s="97" t="s">
        <v>26</v>
      </c>
      <c r="AI157" s="98">
        <f t="shared" si="15"/>
        <v>31</v>
      </c>
      <c r="AJ157" s="98">
        <f t="shared" si="13"/>
        <v>18</v>
      </c>
      <c r="AK157" s="98">
        <v>9</v>
      </c>
      <c r="AL157" s="98">
        <v>4</v>
      </c>
      <c r="AM157" s="98">
        <v>0</v>
      </c>
      <c r="AN157" s="98"/>
      <c r="AO157" s="98"/>
      <c r="AP157" s="98"/>
      <c r="AQ157" s="98"/>
      <c r="AR157" s="98"/>
      <c r="AS157" s="98">
        <f t="shared" si="16"/>
        <v>0</v>
      </c>
      <c r="AT157" s="99"/>
    </row>
    <row r="158" customFormat="1" ht="34" customHeight="1" spans="1:46">
      <c r="A158" s="92">
        <f t="shared" si="14"/>
        <v>155</v>
      </c>
      <c r="B158" s="93" t="s">
        <v>245</v>
      </c>
      <c r="C158" s="94" t="s">
        <v>246</v>
      </c>
      <c r="D158" s="95" t="s">
        <v>23</v>
      </c>
      <c r="E158" s="95" t="s">
        <v>23</v>
      </c>
      <c r="F158" s="95" t="s">
        <v>23</v>
      </c>
      <c r="G158" s="95" t="s">
        <v>24</v>
      </c>
      <c r="H158" s="95" t="s">
        <v>24</v>
      </c>
      <c r="I158" s="95" t="s">
        <v>23</v>
      </c>
      <c r="J158" s="95" t="s">
        <v>24</v>
      </c>
      <c r="K158" s="95" t="s">
        <v>24</v>
      </c>
      <c r="L158" s="96" t="s">
        <v>88</v>
      </c>
      <c r="M158" s="97" t="s">
        <v>26</v>
      </c>
      <c r="N158" s="97" t="s">
        <v>26</v>
      </c>
      <c r="O158" s="95" t="s">
        <v>24</v>
      </c>
      <c r="P158" s="97" t="s">
        <v>26</v>
      </c>
      <c r="Q158" s="97" t="s">
        <v>26</v>
      </c>
      <c r="R158" s="97" t="s">
        <v>26</v>
      </c>
      <c r="S158" s="97" t="s">
        <v>26</v>
      </c>
      <c r="T158" s="97" t="s">
        <v>26</v>
      </c>
      <c r="U158" s="95" t="s">
        <v>24</v>
      </c>
      <c r="V158" s="95" t="s">
        <v>24</v>
      </c>
      <c r="W158" s="97" t="s">
        <v>26</v>
      </c>
      <c r="X158" s="97" t="s">
        <v>26</v>
      </c>
      <c r="Y158" s="100" t="s">
        <v>186</v>
      </c>
      <c r="Z158" s="97" t="s">
        <v>26</v>
      </c>
      <c r="AA158" s="97" t="s">
        <v>26</v>
      </c>
      <c r="AB158" s="95" t="s">
        <v>24</v>
      </c>
      <c r="AC158" s="95" t="s">
        <v>24</v>
      </c>
      <c r="AD158" s="97" t="s">
        <v>26</v>
      </c>
      <c r="AE158" s="100" t="s">
        <v>137</v>
      </c>
      <c r="AF158" s="97" t="s">
        <v>26</v>
      </c>
      <c r="AG158" s="100" t="s">
        <v>25</v>
      </c>
      <c r="AH158" s="100" t="s">
        <v>137</v>
      </c>
      <c r="AI158" s="98">
        <f t="shared" si="15"/>
        <v>31</v>
      </c>
      <c r="AJ158" s="98">
        <f t="shared" si="13"/>
        <v>15.37</v>
      </c>
      <c r="AK158" s="98">
        <v>9</v>
      </c>
      <c r="AL158" s="98">
        <v>4</v>
      </c>
      <c r="AM158" s="98">
        <v>2.63</v>
      </c>
      <c r="AN158" s="98"/>
      <c r="AO158" s="98">
        <v>1</v>
      </c>
      <c r="AP158" s="98"/>
      <c r="AQ158" s="98"/>
      <c r="AR158" s="98"/>
      <c r="AS158" s="98">
        <f t="shared" si="16"/>
        <v>1.63</v>
      </c>
      <c r="AT158" s="99" t="s">
        <v>247</v>
      </c>
    </row>
    <row r="159" ht="34" customHeight="1" spans="1:46">
      <c r="A159" s="92">
        <f t="shared" si="14"/>
        <v>156</v>
      </c>
      <c r="B159" s="93" t="s">
        <v>248</v>
      </c>
      <c r="C159" s="94" t="s">
        <v>246</v>
      </c>
      <c r="D159" s="95" t="s">
        <v>23</v>
      </c>
      <c r="E159" s="95" t="s">
        <v>23</v>
      </c>
      <c r="F159" s="95" t="s">
        <v>23</v>
      </c>
      <c r="G159" s="95" t="s">
        <v>24</v>
      </c>
      <c r="H159" s="95" t="s">
        <v>24</v>
      </c>
      <c r="I159" s="95" t="s">
        <v>23</v>
      </c>
      <c r="J159" s="95" t="s">
        <v>24</v>
      </c>
      <c r="K159" s="95" t="s">
        <v>24</v>
      </c>
      <c r="L159" s="97" t="s">
        <v>26</v>
      </c>
      <c r="M159" s="97" t="s">
        <v>26</v>
      </c>
      <c r="N159" s="97" t="s">
        <v>26</v>
      </c>
      <c r="O159" s="95" t="s">
        <v>24</v>
      </c>
      <c r="P159" s="97" t="s">
        <v>26</v>
      </c>
      <c r="Q159" s="97" t="s">
        <v>26</v>
      </c>
      <c r="R159" s="97" t="s">
        <v>26</v>
      </c>
      <c r="S159" s="97" t="s">
        <v>26</v>
      </c>
      <c r="T159" s="97" t="s">
        <v>26</v>
      </c>
      <c r="U159" s="95" t="s">
        <v>24</v>
      </c>
      <c r="V159" s="95" t="s">
        <v>24</v>
      </c>
      <c r="W159" s="97" t="s">
        <v>26</v>
      </c>
      <c r="X159" s="97" t="s">
        <v>26</v>
      </c>
      <c r="Y159" s="97" t="s">
        <v>26</v>
      </c>
      <c r="Z159" s="97" t="s">
        <v>26</v>
      </c>
      <c r="AA159" s="97" t="s">
        <v>26</v>
      </c>
      <c r="AB159" s="95" t="s">
        <v>24</v>
      </c>
      <c r="AC159" s="95" t="s">
        <v>24</v>
      </c>
      <c r="AD159" s="97" t="s">
        <v>26</v>
      </c>
      <c r="AE159" s="97" t="s">
        <v>26</v>
      </c>
      <c r="AF159" s="97" t="s">
        <v>26</v>
      </c>
      <c r="AG159" s="97" t="s">
        <v>26</v>
      </c>
      <c r="AH159" s="97" t="s">
        <v>26</v>
      </c>
      <c r="AI159" s="98">
        <f t="shared" si="15"/>
        <v>31</v>
      </c>
      <c r="AJ159" s="98">
        <f t="shared" si="13"/>
        <v>18</v>
      </c>
      <c r="AK159" s="98">
        <v>9</v>
      </c>
      <c r="AL159" s="98">
        <v>4</v>
      </c>
      <c r="AM159" s="98">
        <v>0</v>
      </c>
      <c r="AN159" s="98"/>
      <c r="AO159" s="98"/>
      <c r="AP159" s="98"/>
      <c r="AQ159" s="98"/>
      <c r="AR159" s="98"/>
      <c r="AS159" s="98">
        <f t="shared" si="16"/>
        <v>0</v>
      </c>
      <c r="AT159" s="99"/>
    </row>
    <row r="160" customFormat="1" ht="34" customHeight="1" spans="1:46">
      <c r="A160" s="92">
        <f t="shared" si="14"/>
        <v>157</v>
      </c>
      <c r="B160" s="93" t="s">
        <v>249</v>
      </c>
      <c r="C160" s="94" t="s">
        <v>250</v>
      </c>
      <c r="D160" s="95" t="s">
        <v>23</v>
      </c>
      <c r="E160" s="95" t="s">
        <v>23</v>
      </c>
      <c r="F160" s="95" t="s">
        <v>23</v>
      </c>
      <c r="G160" s="95" t="s">
        <v>24</v>
      </c>
      <c r="H160" s="95" t="s">
        <v>24</v>
      </c>
      <c r="I160" s="95" t="s">
        <v>23</v>
      </c>
      <c r="J160" s="95" t="s">
        <v>24</v>
      </c>
      <c r="K160" s="95" t="s">
        <v>24</v>
      </c>
      <c r="L160" s="97" t="s">
        <v>26</v>
      </c>
      <c r="M160" s="97" t="s">
        <v>26</v>
      </c>
      <c r="N160" s="97" t="s">
        <v>26</v>
      </c>
      <c r="O160" s="95" t="s">
        <v>24</v>
      </c>
      <c r="P160" s="97" t="s">
        <v>26</v>
      </c>
      <c r="Q160" s="97" t="s">
        <v>26</v>
      </c>
      <c r="R160" s="97" t="s">
        <v>26</v>
      </c>
      <c r="S160" s="97" t="s">
        <v>26</v>
      </c>
      <c r="T160" s="97" t="s">
        <v>26</v>
      </c>
      <c r="U160" s="95" t="s">
        <v>24</v>
      </c>
      <c r="V160" s="95" t="s">
        <v>24</v>
      </c>
      <c r="W160" s="97" t="s">
        <v>26</v>
      </c>
      <c r="X160" s="97" t="s">
        <v>26</v>
      </c>
      <c r="Y160" s="97" t="s">
        <v>26</v>
      </c>
      <c r="Z160" s="97" t="s">
        <v>26</v>
      </c>
      <c r="AA160" s="97" t="s">
        <v>26</v>
      </c>
      <c r="AB160" s="95" t="s">
        <v>24</v>
      </c>
      <c r="AC160" s="95" t="s">
        <v>24</v>
      </c>
      <c r="AD160" s="97" t="s">
        <v>26</v>
      </c>
      <c r="AE160" s="97" t="s">
        <v>26</v>
      </c>
      <c r="AF160" s="97" t="s">
        <v>26</v>
      </c>
      <c r="AG160" s="97" t="s">
        <v>26</v>
      </c>
      <c r="AH160" s="97" t="s">
        <v>26</v>
      </c>
      <c r="AI160" s="98">
        <f t="shared" si="15"/>
        <v>31</v>
      </c>
      <c r="AJ160" s="98">
        <f t="shared" si="13"/>
        <v>18</v>
      </c>
      <c r="AK160" s="98">
        <v>9</v>
      </c>
      <c r="AL160" s="98">
        <v>4</v>
      </c>
      <c r="AM160" s="98">
        <v>0</v>
      </c>
      <c r="AN160" s="98"/>
      <c r="AO160" s="98"/>
      <c r="AP160" s="98"/>
      <c r="AQ160" s="98"/>
      <c r="AR160" s="98"/>
      <c r="AS160" s="98">
        <f t="shared" si="16"/>
        <v>0</v>
      </c>
      <c r="AT160" s="99"/>
    </row>
    <row r="161" customFormat="1" ht="34" customHeight="1" spans="1:46">
      <c r="A161" s="92">
        <f t="shared" si="14"/>
        <v>158</v>
      </c>
      <c r="B161" s="93" t="s">
        <v>251</v>
      </c>
      <c r="C161" s="94" t="s">
        <v>173</v>
      </c>
      <c r="D161" s="95" t="s">
        <v>23</v>
      </c>
      <c r="E161" s="95" t="s">
        <v>23</v>
      </c>
      <c r="F161" s="95" t="s">
        <v>23</v>
      </c>
      <c r="G161" s="95" t="s">
        <v>24</v>
      </c>
      <c r="H161" s="95" t="s">
        <v>24</v>
      </c>
      <c r="I161" s="95" t="s">
        <v>23</v>
      </c>
      <c r="J161" s="95" t="s">
        <v>24</v>
      </c>
      <c r="K161" s="95" t="s">
        <v>24</v>
      </c>
      <c r="L161" s="97" t="s">
        <v>26</v>
      </c>
      <c r="M161" s="97" t="s">
        <v>26</v>
      </c>
      <c r="N161" s="97" t="s">
        <v>26</v>
      </c>
      <c r="O161" s="95" t="s">
        <v>24</v>
      </c>
      <c r="P161" s="97" t="s">
        <v>26</v>
      </c>
      <c r="Q161" s="97" t="s">
        <v>26</v>
      </c>
      <c r="R161" s="97" t="s">
        <v>26</v>
      </c>
      <c r="S161" s="97" t="s">
        <v>26</v>
      </c>
      <c r="T161" s="97" t="s">
        <v>26</v>
      </c>
      <c r="U161" s="95" t="s">
        <v>24</v>
      </c>
      <c r="V161" s="95" t="s">
        <v>24</v>
      </c>
      <c r="W161" s="97" t="s">
        <v>26</v>
      </c>
      <c r="X161" s="97" t="s">
        <v>26</v>
      </c>
      <c r="Y161" s="97" t="s">
        <v>26</v>
      </c>
      <c r="Z161" s="97" t="s">
        <v>26</v>
      </c>
      <c r="AA161" s="97" t="s">
        <v>26</v>
      </c>
      <c r="AB161" s="95" t="s">
        <v>24</v>
      </c>
      <c r="AC161" s="95" t="s">
        <v>24</v>
      </c>
      <c r="AD161" s="97" t="s">
        <v>26</v>
      </c>
      <c r="AE161" s="97" t="s">
        <v>26</v>
      </c>
      <c r="AF161" s="97" t="s">
        <v>26</v>
      </c>
      <c r="AG161" s="97" t="s">
        <v>26</v>
      </c>
      <c r="AH161" s="97" t="s">
        <v>26</v>
      </c>
      <c r="AI161" s="98">
        <f t="shared" si="15"/>
        <v>31</v>
      </c>
      <c r="AJ161" s="98">
        <f t="shared" si="13"/>
        <v>18</v>
      </c>
      <c r="AK161" s="98">
        <v>9</v>
      </c>
      <c r="AL161" s="98">
        <v>4</v>
      </c>
      <c r="AM161" s="98">
        <v>0</v>
      </c>
      <c r="AN161" s="98"/>
      <c r="AO161" s="98"/>
      <c r="AP161" s="98"/>
      <c r="AQ161" s="98"/>
      <c r="AR161" s="98"/>
      <c r="AS161" s="98">
        <f t="shared" si="16"/>
        <v>0</v>
      </c>
      <c r="AT161" s="99"/>
    </row>
    <row r="162" customFormat="1" ht="34" customHeight="1" spans="1:46">
      <c r="A162" s="92">
        <f t="shared" si="14"/>
        <v>159</v>
      </c>
      <c r="B162" s="93" t="s">
        <v>252</v>
      </c>
      <c r="C162" s="94" t="s">
        <v>173</v>
      </c>
      <c r="D162" s="95" t="s">
        <v>23</v>
      </c>
      <c r="E162" s="95" t="s">
        <v>23</v>
      </c>
      <c r="F162" s="95" t="s">
        <v>23</v>
      </c>
      <c r="G162" s="95" t="s">
        <v>24</v>
      </c>
      <c r="H162" s="95" t="s">
        <v>24</v>
      </c>
      <c r="I162" s="95" t="s">
        <v>23</v>
      </c>
      <c r="J162" s="95" t="s">
        <v>24</v>
      </c>
      <c r="K162" s="95" t="s">
        <v>24</v>
      </c>
      <c r="L162" s="97" t="s">
        <v>26</v>
      </c>
      <c r="M162" s="97" t="s">
        <v>26</v>
      </c>
      <c r="N162" s="97" t="s">
        <v>26</v>
      </c>
      <c r="O162" s="95" t="s">
        <v>24</v>
      </c>
      <c r="P162" s="97" t="s">
        <v>26</v>
      </c>
      <c r="Q162" s="97" t="s">
        <v>26</v>
      </c>
      <c r="R162" s="97" t="s">
        <v>26</v>
      </c>
      <c r="S162" s="97" t="s">
        <v>26</v>
      </c>
      <c r="T162" s="97" t="s">
        <v>26</v>
      </c>
      <c r="U162" s="95" t="s">
        <v>24</v>
      </c>
      <c r="V162" s="95" t="s">
        <v>24</v>
      </c>
      <c r="W162" s="97" t="s">
        <v>26</v>
      </c>
      <c r="X162" s="97" t="s">
        <v>26</v>
      </c>
      <c r="Y162" s="97" t="s">
        <v>26</v>
      </c>
      <c r="Z162" s="97" t="s">
        <v>26</v>
      </c>
      <c r="AA162" s="97" t="s">
        <v>26</v>
      </c>
      <c r="AB162" s="95" t="s">
        <v>24</v>
      </c>
      <c r="AC162" s="95" t="s">
        <v>24</v>
      </c>
      <c r="AD162" s="97" t="s">
        <v>26</v>
      </c>
      <c r="AE162" s="97" t="s">
        <v>26</v>
      </c>
      <c r="AF162" s="97" t="s">
        <v>26</v>
      </c>
      <c r="AG162" s="97" t="s">
        <v>26</v>
      </c>
      <c r="AH162" s="97" t="s">
        <v>26</v>
      </c>
      <c r="AI162" s="98">
        <f t="shared" si="15"/>
        <v>31</v>
      </c>
      <c r="AJ162" s="98">
        <f t="shared" si="13"/>
        <v>18</v>
      </c>
      <c r="AK162" s="98">
        <v>9</v>
      </c>
      <c r="AL162" s="98">
        <v>4</v>
      </c>
      <c r="AM162" s="98">
        <v>0</v>
      </c>
      <c r="AN162" s="98"/>
      <c r="AO162" s="98"/>
      <c r="AP162" s="98"/>
      <c r="AQ162" s="98"/>
      <c r="AR162" s="98"/>
      <c r="AS162" s="98">
        <f t="shared" si="16"/>
        <v>0</v>
      </c>
      <c r="AT162" s="99"/>
    </row>
    <row r="163" customFormat="1" ht="34" customHeight="1" spans="1:46">
      <c r="A163" s="92">
        <f t="shared" si="14"/>
        <v>160</v>
      </c>
      <c r="B163" s="93" t="s">
        <v>253</v>
      </c>
      <c r="C163" s="94" t="s">
        <v>173</v>
      </c>
      <c r="D163" s="95" t="s">
        <v>23</v>
      </c>
      <c r="E163" s="95" t="s">
        <v>23</v>
      </c>
      <c r="F163" s="95" t="s">
        <v>23</v>
      </c>
      <c r="G163" s="95" t="s">
        <v>24</v>
      </c>
      <c r="H163" s="95" t="s">
        <v>24</v>
      </c>
      <c r="I163" s="95" t="s">
        <v>23</v>
      </c>
      <c r="J163" s="95" t="s">
        <v>24</v>
      </c>
      <c r="K163" s="95" t="s">
        <v>24</v>
      </c>
      <c r="L163" s="97" t="s">
        <v>26</v>
      </c>
      <c r="M163" s="97" t="s">
        <v>26</v>
      </c>
      <c r="N163" s="97" t="s">
        <v>26</v>
      </c>
      <c r="O163" s="95" t="s">
        <v>24</v>
      </c>
      <c r="P163" s="97" t="s">
        <v>26</v>
      </c>
      <c r="Q163" s="97" t="s">
        <v>26</v>
      </c>
      <c r="R163" s="97" t="s">
        <v>26</v>
      </c>
      <c r="S163" s="97" t="s">
        <v>26</v>
      </c>
      <c r="T163" s="97" t="s">
        <v>26</v>
      </c>
      <c r="U163" s="95" t="s">
        <v>24</v>
      </c>
      <c r="V163" s="95" t="s">
        <v>24</v>
      </c>
      <c r="W163" s="97" t="s">
        <v>26</v>
      </c>
      <c r="X163" s="97" t="s">
        <v>26</v>
      </c>
      <c r="Y163" s="97" t="s">
        <v>26</v>
      </c>
      <c r="Z163" s="97" t="s">
        <v>26</v>
      </c>
      <c r="AA163" s="97" t="s">
        <v>26</v>
      </c>
      <c r="AB163" s="95" t="s">
        <v>24</v>
      </c>
      <c r="AC163" s="95" t="s">
        <v>24</v>
      </c>
      <c r="AD163" s="97" t="s">
        <v>26</v>
      </c>
      <c r="AE163" s="97" t="s">
        <v>26</v>
      </c>
      <c r="AF163" s="97" t="s">
        <v>26</v>
      </c>
      <c r="AG163" s="97" t="s">
        <v>26</v>
      </c>
      <c r="AH163" s="97" t="s">
        <v>26</v>
      </c>
      <c r="AI163" s="98">
        <f t="shared" si="15"/>
        <v>31</v>
      </c>
      <c r="AJ163" s="98">
        <f t="shared" si="13"/>
        <v>18</v>
      </c>
      <c r="AK163" s="98">
        <v>9</v>
      </c>
      <c r="AL163" s="98">
        <v>4</v>
      </c>
      <c r="AM163" s="98">
        <v>0</v>
      </c>
      <c r="AN163" s="98"/>
      <c r="AO163" s="98"/>
      <c r="AP163" s="98"/>
      <c r="AQ163" s="98"/>
      <c r="AR163" s="98"/>
      <c r="AS163" s="98">
        <f t="shared" si="16"/>
        <v>0</v>
      </c>
      <c r="AT163" s="99"/>
    </row>
    <row r="164" customFormat="1" ht="34" customHeight="1" spans="1:46">
      <c r="A164" s="92">
        <f t="shared" si="14"/>
        <v>161</v>
      </c>
      <c r="B164" s="93" t="s">
        <v>254</v>
      </c>
      <c r="C164" s="94" t="s">
        <v>173</v>
      </c>
      <c r="D164" s="95" t="s">
        <v>23</v>
      </c>
      <c r="E164" s="95" t="s">
        <v>23</v>
      </c>
      <c r="F164" s="95" t="s">
        <v>23</v>
      </c>
      <c r="G164" s="95" t="s">
        <v>24</v>
      </c>
      <c r="H164" s="95" t="s">
        <v>24</v>
      </c>
      <c r="I164" s="95" t="s">
        <v>23</v>
      </c>
      <c r="J164" s="95" t="s">
        <v>24</v>
      </c>
      <c r="K164" s="95" t="s">
        <v>24</v>
      </c>
      <c r="L164" s="97" t="s">
        <v>26</v>
      </c>
      <c r="M164" s="97" t="s">
        <v>26</v>
      </c>
      <c r="N164" s="97" t="s">
        <v>26</v>
      </c>
      <c r="O164" s="95" t="s">
        <v>24</v>
      </c>
      <c r="P164" s="97" t="s">
        <v>26</v>
      </c>
      <c r="Q164" s="97" t="s">
        <v>26</v>
      </c>
      <c r="R164" s="97" t="s">
        <v>26</v>
      </c>
      <c r="S164" s="97" t="s">
        <v>26</v>
      </c>
      <c r="T164" s="97" t="s">
        <v>26</v>
      </c>
      <c r="U164" s="95" t="s">
        <v>24</v>
      </c>
      <c r="V164" s="95" t="s">
        <v>24</v>
      </c>
      <c r="W164" s="97" t="s">
        <v>26</v>
      </c>
      <c r="X164" s="97" t="s">
        <v>26</v>
      </c>
      <c r="Y164" s="97" t="s">
        <v>26</v>
      </c>
      <c r="Z164" s="97" t="s">
        <v>26</v>
      </c>
      <c r="AA164" s="97" t="s">
        <v>26</v>
      </c>
      <c r="AB164" s="95" t="s">
        <v>24</v>
      </c>
      <c r="AC164" s="95" t="s">
        <v>24</v>
      </c>
      <c r="AD164" s="97" t="s">
        <v>26</v>
      </c>
      <c r="AE164" s="100" t="s">
        <v>124</v>
      </c>
      <c r="AF164" s="97" t="s">
        <v>26</v>
      </c>
      <c r="AG164" s="97" t="s">
        <v>26</v>
      </c>
      <c r="AH164" s="97" t="s">
        <v>26</v>
      </c>
      <c r="AI164" s="98">
        <f t="shared" si="15"/>
        <v>31</v>
      </c>
      <c r="AJ164" s="98">
        <f t="shared" si="13"/>
        <v>17.62</v>
      </c>
      <c r="AK164" s="98">
        <v>9</v>
      </c>
      <c r="AL164" s="98">
        <v>4</v>
      </c>
      <c r="AM164" s="98">
        <v>0.38</v>
      </c>
      <c r="AN164" s="98"/>
      <c r="AO164" s="98"/>
      <c r="AP164" s="98"/>
      <c r="AQ164" s="98"/>
      <c r="AR164" s="98"/>
      <c r="AS164" s="98">
        <f t="shared" si="16"/>
        <v>0.38</v>
      </c>
      <c r="AT164" s="99"/>
    </row>
    <row r="165" customFormat="1" ht="34" customHeight="1" spans="1:46">
      <c r="A165" s="92">
        <f t="shared" si="14"/>
        <v>162</v>
      </c>
      <c r="B165" s="93" t="s">
        <v>255</v>
      </c>
      <c r="C165" s="94" t="s">
        <v>173</v>
      </c>
      <c r="D165" s="95" t="s">
        <v>23</v>
      </c>
      <c r="E165" s="95" t="s">
        <v>23</v>
      </c>
      <c r="F165" s="95" t="s">
        <v>23</v>
      </c>
      <c r="G165" s="95" t="s">
        <v>24</v>
      </c>
      <c r="H165" s="95" t="s">
        <v>24</v>
      </c>
      <c r="I165" s="95" t="s">
        <v>23</v>
      </c>
      <c r="J165" s="95" t="s">
        <v>24</v>
      </c>
      <c r="K165" s="95" t="s">
        <v>24</v>
      </c>
      <c r="L165" s="97" t="s">
        <v>26</v>
      </c>
      <c r="M165" s="97" t="s">
        <v>26</v>
      </c>
      <c r="N165" s="97" t="s">
        <v>26</v>
      </c>
      <c r="O165" s="95" t="s">
        <v>24</v>
      </c>
      <c r="P165" s="97" t="s">
        <v>26</v>
      </c>
      <c r="Q165" s="97" t="s">
        <v>26</v>
      </c>
      <c r="R165" s="97" t="s">
        <v>26</v>
      </c>
      <c r="S165" s="97" t="s">
        <v>26</v>
      </c>
      <c r="T165" s="97" t="s">
        <v>26</v>
      </c>
      <c r="U165" s="95" t="s">
        <v>24</v>
      </c>
      <c r="V165" s="95" t="s">
        <v>24</v>
      </c>
      <c r="W165" s="97" t="s">
        <v>26</v>
      </c>
      <c r="X165" s="97" t="s">
        <v>26</v>
      </c>
      <c r="Y165" s="97" t="s">
        <v>26</v>
      </c>
      <c r="Z165" s="97" t="s">
        <v>26</v>
      </c>
      <c r="AA165" s="97" t="s">
        <v>26</v>
      </c>
      <c r="AB165" s="95" t="s">
        <v>24</v>
      </c>
      <c r="AC165" s="95" t="s">
        <v>24</v>
      </c>
      <c r="AD165" s="97" t="s">
        <v>26</v>
      </c>
      <c r="AE165" s="97" t="s">
        <v>26</v>
      </c>
      <c r="AF165" s="97" t="s">
        <v>26</v>
      </c>
      <c r="AG165" s="97" t="s">
        <v>26</v>
      </c>
      <c r="AH165" s="97" t="s">
        <v>26</v>
      </c>
      <c r="AI165" s="98">
        <f t="shared" si="15"/>
        <v>31</v>
      </c>
      <c r="AJ165" s="98">
        <f t="shared" si="13"/>
        <v>18</v>
      </c>
      <c r="AK165" s="98">
        <v>9</v>
      </c>
      <c r="AL165" s="98">
        <v>4</v>
      </c>
      <c r="AM165" s="98">
        <v>0</v>
      </c>
      <c r="AN165" s="98"/>
      <c r="AO165" s="98"/>
      <c r="AP165" s="98"/>
      <c r="AQ165" s="98"/>
      <c r="AR165" s="98"/>
      <c r="AS165" s="98">
        <f t="shared" si="16"/>
        <v>0</v>
      </c>
      <c r="AT165" s="99"/>
    </row>
    <row r="166" customFormat="1" ht="34" customHeight="1" spans="1:46">
      <c r="A166" s="92">
        <f t="shared" si="14"/>
        <v>163</v>
      </c>
      <c r="B166" s="93" t="s">
        <v>256</v>
      </c>
      <c r="C166" s="94" t="s">
        <v>173</v>
      </c>
      <c r="D166" s="95" t="s">
        <v>23</v>
      </c>
      <c r="E166" s="95" t="s">
        <v>23</v>
      </c>
      <c r="F166" s="95" t="s">
        <v>23</v>
      </c>
      <c r="G166" s="95" t="s">
        <v>24</v>
      </c>
      <c r="H166" s="95" t="s">
        <v>24</v>
      </c>
      <c r="I166" s="95" t="s">
        <v>23</v>
      </c>
      <c r="J166" s="95" t="s">
        <v>24</v>
      </c>
      <c r="K166" s="95" t="s">
        <v>24</v>
      </c>
      <c r="L166" s="97" t="s">
        <v>26</v>
      </c>
      <c r="M166" s="97" t="s">
        <v>26</v>
      </c>
      <c r="N166" s="97" t="s">
        <v>26</v>
      </c>
      <c r="O166" s="95" t="s">
        <v>24</v>
      </c>
      <c r="P166" s="100" t="s">
        <v>137</v>
      </c>
      <c r="Q166" s="97" t="s">
        <v>26</v>
      </c>
      <c r="R166" s="97" t="s">
        <v>26</v>
      </c>
      <c r="S166" s="97" t="s">
        <v>26</v>
      </c>
      <c r="T166" s="97" t="s">
        <v>26</v>
      </c>
      <c r="U166" s="95" t="s">
        <v>24</v>
      </c>
      <c r="V166" s="95" t="s">
        <v>24</v>
      </c>
      <c r="W166" s="100" t="s">
        <v>186</v>
      </c>
      <c r="X166" s="97" t="s">
        <v>26</v>
      </c>
      <c r="Y166" s="97" t="s">
        <v>26</v>
      </c>
      <c r="Z166" s="97" t="s">
        <v>26</v>
      </c>
      <c r="AA166" s="97" t="s">
        <v>26</v>
      </c>
      <c r="AB166" s="95" t="s">
        <v>24</v>
      </c>
      <c r="AC166" s="95" t="s">
        <v>24</v>
      </c>
      <c r="AD166" s="97" t="s">
        <v>26</v>
      </c>
      <c r="AE166" s="97" t="s">
        <v>26</v>
      </c>
      <c r="AF166" s="97" t="s">
        <v>26</v>
      </c>
      <c r="AG166" s="97" t="s">
        <v>26</v>
      </c>
      <c r="AH166" s="97" t="s">
        <v>26</v>
      </c>
      <c r="AI166" s="98">
        <f t="shared" si="15"/>
        <v>31</v>
      </c>
      <c r="AJ166" s="98">
        <f t="shared" ref="AJ166:AJ192" si="17">18-AM166</f>
        <v>17.62</v>
      </c>
      <c r="AK166" s="98">
        <v>9</v>
      </c>
      <c r="AL166" s="98">
        <v>4</v>
      </c>
      <c r="AM166" s="98">
        <v>0.38</v>
      </c>
      <c r="AN166" s="98"/>
      <c r="AO166" s="98"/>
      <c r="AP166" s="98"/>
      <c r="AQ166" s="98"/>
      <c r="AR166" s="98"/>
      <c r="AS166" s="98">
        <f t="shared" si="16"/>
        <v>0.38</v>
      </c>
      <c r="AT166" s="99"/>
    </row>
    <row r="167" customFormat="1" ht="34" customHeight="1" spans="1:46">
      <c r="A167" s="92">
        <f t="shared" si="14"/>
        <v>164</v>
      </c>
      <c r="B167" s="93" t="s">
        <v>257</v>
      </c>
      <c r="C167" s="94" t="s">
        <v>173</v>
      </c>
      <c r="D167" s="95" t="s">
        <v>23</v>
      </c>
      <c r="E167" s="95" t="s">
        <v>23</v>
      </c>
      <c r="F167" s="95" t="s">
        <v>23</v>
      </c>
      <c r="G167" s="95" t="s">
        <v>24</v>
      </c>
      <c r="H167" s="95" t="s">
        <v>24</v>
      </c>
      <c r="I167" s="95" t="s">
        <v>23</v>
      </c>
      <c r="J167" s="95" t="s">
        <v>24</v>
      </c>
      <c r="K167" s="95" t="s">
        <v>24</v>
      </c>
      <c r="L167" s="97" t="s">
        <v>26</v>
      </c>
      <c r="M167" s="97" t="s">
        <v>26</v>
      </c>
      <c r="N167" s="97" t="s">
        <v>26</v>
      </c>
      <c r="O167" s="95" t="s">
        <v>24</v>
      </c>
      <c r="P167" s="97" t="s">
        <v>26</v>
      </c>
      <c r="Q167" s="97" t="s">
        <v>26</v>
      </c>
      <c r="R167" s="97" t="s">
        <v>26</v>
      </c>
      <c r="S167" s="97" t="s">
        <v>26</v>
      </c>
      <c r="T167" s="97" t="s">
        <v>26</v>
      </c>
      <c r="U167" s="95" t="s">
        <v>24</v>
      </c>
      <c r="V167" s="95" t="s">
        <v>24</v>
      </c>
      <c r="W167" s="97" t="s">
        <v>26</v>
      </c>
      <c r="X167" s="97" t="s">
        <v>26</v>
      </c>
      <c r="Y167" s="97" t="s">
        <v>26</v>
      </c>
      <c r="Z167" s="97" t="s">
        <v>26</v>
      </c>
      <c r="AA167" s="97" t="s">
        <v>26</v>
      </c>
      <c r="AB167" s="95" t="s">
        <v>24</v>
      </c>
      <c r="AC167" s="95" t="s">
        <v>24</v>
      </c>
      <c r="AD167" s="97" t="s">
        <v>26</v>
      </c>
      <c r="AE167" s="97" t="s">
        <v>26</v>
      </c>
      <c r="AF167" s="97" t="s">
        <v>26</v>
      </c>
      <c r="AG167" s="97" t="s">
        <v>26</v>
      </c>
      <c r="AH167" s="97" t="s">
        <v>26</v>
      </c>
      <c r="AI167" s="98">
        <f t="shared" si="15"/>
        <v>31</v>
      </c>
      <c r="AJ167" s="98">
        <f t="shared" si="17"/>
        <v>18</v>
      </c>
      <c r="AK167" s="98">
        <v>9</v>
      </c>
      <c r="AL167" s="98">
        <v>4</v>
      </c>
      <c r="AM167" s="98">
        <v>0</v>
      </c>
      <c r="AN167" s="98"/>
      <c r="AO167" s="98"/>
      <c r="AP167" s="98"/>
      <c r="AQ167" s="98"/>
      <c r="AR167" s="98"/>
      <c r="AS167" s="98">
        <f t="shared" si="16"/>
        <v>0</v>
      </c>
      <c r="AT167" s="99"/>
    </row>
    <row r="168" customFormat="1" ht="34" customHeight="1" spans="1:46">
      <c r="A168" s="92">
        <f t="shared" si="14"/>
        <v>165</v>
      </c>
      <c r="B168" s="106" t="s">
        <v>258</v>
      </c>
      <c r="C168" s="94" t="s">
        <v>173</v>
      </c>
      <c r="D168" s="95" t="s">
        <v>23</v>
      </c>
      <c r="E168" s="95" t="s">
        <v>23</v>
      </c>
      <c r="F168" s="95" t="s">
        <v>23</v>
      </c>
      <c r="G168" s="95" t="s">
        <v>24</v>
      </c>
      <c r="H168" s="95" t="s">
        <v>24</v>
      </c>
      <c r="I168" s="95" t="s">
        <v>23</v>
      </c>
      <c r="J168" s="95" t="s">
        <v>24</v>
      </c>
      <c r="K168" s="95" t="s">
        <v>24</v>
      </c>
      <c r="L168" s="97" t="s">
        <v>26</v>
      </c>
      <c r="M168" s="97" t="s">
        <v>26</v>
      </c>
      <c r="N168" s="97" t="s">
        <v>26</v>
      </c>
      <c r="O168" s="95" t="s">
        <v>24</v>
      </c>
      <c r="P168" s="97" t="s">
        <v>26</v>
      </c>
      <c r="Q168" s="97" t="s">
        <v>26</v>
      </c>
      <c r="R168" s="97" t="s">
        <v>26</v>
      </c>
      <c r="S168" s="97" t="s">
        <v>26</v>
      </c>
      <c r="T168" s="97" t="s">
        <v>26</v>
      </c>
      <c r="U168" s="95" t="s">
        <v>24</v>
      </c>
      <c r="V168" s="95" t="s">
        <v>24</v>
      </c>
      <c r="W168" s="97" t="s">
        <v>26</v>
      </c>
      <c r="X168" s="97" t="s">
        <v>26</v>
      </c>
      <c r="Y168" s="97" t="s">
        <v>26</v>
      </c>
      <c r="Z168" s="97" t="s">
        <v>26</v>
      </c>
      <c r="AA168" s="97" t="s">
        <v>26</v>
      </c>
      <c r="AB168" s="95" t="s">
        <v>24</v>
      </c>
      <c r="AC168" s="95" t="s">
        <v>24</v>
      </c>
      <c r="AD168" s="97" t="s">
        <v>26</v>
      </c>
      <c r="AE168" s="97" t="s">
        <v>26</v>
      </c>
      <c r="AF168" s="97" t="s">
        <v>26</v>
      </c>
      <c r="AG168" s="97" t="s">
        <v>26</v>
      </c>
      <c r="AH168" s="97" t="s">
        <v>26</v>
      </c>
      <c r="AI168" s="98">
        <f t="shared" si="15"/>
        <v>31</v>
      </c>
      <c r="AJ168" s="98">
        <f t="shared" si="17"/>
        <v>18</v>
      </c>
      <c r="AK168" s="98">
        <v>9</v>
      </c>
      <c r="AL168" s="98">
        <v>4</v>
      </c>
      <c r="AM168" s="98">
        <v>0</v>
      </c>
      <c r="AN168" s="98"/>
      <c r="AO168" s="98"/>
      <c r="AP168" s="98"/>
      <c r="AQ168" s="98"/>
      <c r="AR168" s="98"/>
      <c r="AS168" s="98">
        <f t="shared" si="16"/>
        <v>0</v>
      </c>
      <c r="AT168" s="99" t="s">
        <v>237</v>
      </c>
    </row>
    <row r="169" customFormat="1" ht="34" customHeight="1" spans="1:46">
      <c r="A169" s="92">
        <f t="shared" si="14"/>
        <v>166</v>
      </c>
      <c r="B169" s="101" t="s">
        <v>259</v>
      </c>
      <c r="C169" s="94" t="s">
        <v>173</v>
      </c>
      <c r="D169" s="102" t="s">
        <v>34</v>
      </c>
      <c r="E169" s="102" t="s">
        <v>34</v>
      </c>
      <c r="F169" s="102" t="s">
        <v>34</v>
      </c>
      <c r="G169" s="102" t="s">
        <v>34</v>
      </c>
      <c r="H169" s="102" t="s">
        <v>34</v>
      </c>
      <c r="I169" s="102" t="s">
        <v>34</v>
      </c>
      <c r="J169" s="102" t="s">
        <v>34</v>
      </c>
      <c r="K169" s="102" t="s">
        <v>34</v>
      </c>
      <c r="L169" s="102" t="s">
        <v>34</v>
      </c>
      <c r="M169" s="102" t="s">
        <v>34</v>
      </c>
      <c r="N169" s="102" t="s">
        <v>34</v>
      </c>
      <c r="O169" s="102" t="s">
        <v>34</v>
      </c>
      <c r="P169" s="102" t="s">
        <v>34</v>
      </c>
      <c r="Q169" s="102" t="s">
        <v>34</v>
      </c>
      <c r="R169" s="102" t="s">
        <v>34</v>
      </c>
      <c r="S169" s="102" t="s">
        <v>34</v>
      </c>
      <c r="T169" s="102" t="s">
        <v>34</v>
      </c>
      <c r="U169" s="102" t="s">
        <v>34</v>
      </c>
      <c r="V169" s="102" t="s">
        <v>34</v>
      </c>
      <c r="W169" s="102" t="s">
        <v>34</v>
      </c>
      <c r="X169" s="102" t="s">
        <v>34</v>
      </c>
      <c r="Y169" s="102" t="s">
        <v>34</v>
      </c>
      <c r="Z169" s="102" t="s">
        <v>34</v>
      </c>
      <c r="AA169" s="97" t="s">
        <v>26</v>
      </c>
      <c r="AB169" s="95" t="s">
        <v>24</v>
      </c>
      <c r="AC169" s="95" t="s">
        <v>24</v>
      </c>
      <c r="AD169" s="97" t="s">
        <v>26</v>
      </c>
      <c r="AE169" s="97" t="s">
        <v>26</v>
      </c>
      <c r="AF169" s="97" t="s">
        <v>26</v>
      </c>
      <c r="AG169" s="97" t="s">
        <v>26</v>
      </c>
      <c r="AH169" s="97" t="s">
        <v>26</v>
      </c>
      <c r="AI169" s="98">
        <f t="shared" si="15"/>
        <v>31</v>
      </c>
      <c r="AJ169" s="98">
        <f t="shared" si="17"/>
        <v>6</v>
      </c>
      <c r="AK169" s="98">
        <v>9</v>
      </c>
      <c r="AL169" s="98">
        <v>4</v>
      </c>
      <c r="AM169" s="98">
        <v>12</v>
      </c>
      <c r="AN169" s="98"/>
      <c r="AO169" s="98"/>
      <c r="AP169" s="98"/>
      <c r="AQ169" s="98"/>
      <c r="AR169" s="98">
        <v>4</v>
      </c>
      <c r="AS169" s="98">
        <f t="shared" si="16"/>
        <v>16</v>
      </c>
      <c r="AT169" s="99" t="s">
        <v>260</v>
      </c>
    </row>
    <row r="170" customFormat="1" ht="34" customHeight="1" spans="1:46">
      <c r="A170" s="92">
        <f t="shared" si="14"/>
        <v>167</v>
      </c>
      <c r="B170" s="93" t="s">
        <v>261</v>
      </c>
      <c r="C170" s="94" t="s">
        <v>173</v>
      </c>
      <c r="D170" s="95" t="s">
        <v>23</v>
      </c>
      <c r="E170" s="95" t="s">
        <v>23</v>
      </c>
      <c r="F170" s="95" t="s">
        <v>23</v>
      </c>
      <c r="G170" s="95" t="s">
        <v>24</v>
      </c>
      <c r="H170" s="95" t="s">
        <v>24</v>
      </c>
      <c r="I170" s="95" t="s">
        <v>23</v>
      </c>
      <c r="J170" s="95" t="s">
        <v>24</v>
      </c>
      <c r="K170" s="95" t="s">
        <v>24</v>
      </c>
      <c r="L170" s="97" t="s">
        <v>26</v>
      </c>
      <c r="M170" s="97" t="s">
        <v>26</v>
      </c>
      <c r="N170" s="97" t="s">
        <v>26</v>
      </c>
      <c r="O170" s="95" t="s">
        <v>24</v>
      </c>
      <c r="P170" s="97" t="s">
        <v>26</v>
      </c>
      <c r="Q170" s="97" t="s">
        <v>26</v>
      </c>
      <c r="R170" s="97" t="s">
        <v>26</v>
      </c>
      <c r="S170" s="97" t="s">
        <v>26</v>
      </c>
      <c r="T170" s="97" t="s">
        <v>26</v>
      </c>
      <c r="U170" s="95" t="s">
        <v>24</v>
      </c>
      <c r="V170" s="95" t="s">
        <v>24</v>
      </c>
      <c r="W170" s="97" t="s">
        <v>26</v>
      </c>
      <c r="X170" s="97" t="s">
        <v>26</v>
      </c>
      <c r="Y170" s="97" t="s">
        <v>26</v>
      </c>
      <c r="Z170" s="97" t="s">
        <v>26</v>
      </c>
      <c r="AA170" s="97" t="s">
        <v>26</v>
      </c>
      <c r="AB170" s="95" t="s">
        <v>24</v>
      </c>
      <c r="AC170" s="95" t="s">
        <v>24</v>
      </c>
      <c r="AD170" s="97" t="s">
        <v>26</v>
      </c>
      <c r="AE170" s="97" t="s">
        <v>26</v>
      </c>
      <c r="AF170" s="97" t="s">
        <v>26</v>
      </c>
      <c r="AG170" s="97" t="s">
        <v>26</v>
      </c>
      <c r="AH170" s="97" t="s">
        <v>26</v>
      </c>
      <c r="AI170" s="98">
        <f t="shared" si="15"/>
        <v>31</v>
      </c>
      <c r="AJ170" s="98">
        <f t="shared" si="17"/>
        <v>18</v>
      </c>
      <c r="AK170" s="98">
        <v>9</v>
      </c>
      <c r="AL170" s="98">
        <v>4</v>
      </c>
      <c r="AM170" s="98">
        <v>0</v>
      </c>
      <c r="AN170" s="98"/>
      <c r="AO170" s="98"/>
      <c r="AP170" s="98"/>
      <c r="AQ170" s="98"/>
      <c r="AR170" s="98"/>
      <c r="AS170" s="98">
        <f t="shared" si="16"/>
        <v>0</v>
      </c>
      <c r="AT170" s="99"/>
    </row>
    <row r="171" customFormat="1" ht="34" customHeight="1" spans="1:46">
      <c r="A171" s="92">
        <f t="shared" si="14"/>
        <v>168</v>
      </c>
      <c r="B171" s="93" t="s">
        <v>262</v>
      </c>
      <c r="C171" s="94" t="s">
        <v>173</v>
      </c>
      <c r="D171" s="95" t="s">
        <v>23</v>
      </c>
      <c r="E171" s="95" t="s">
        <v>23</v>
      </c>
      <c r="F171" s="95" t="s">
        <v>23</v>
      </c>
      <c r="G171" s="95" t="s">
        <v>24</v>
      </c>
      <c r="H171" s="95" t="s">
        <v>24</v>
      </c>
      <c r="I171" s="95" t="s">
        <v>23</v>
      </c>
      <c r="J171" s="95" t="s">
        <v>24</v>
      </c>
      <c r="K171" s="95" t="s">
        <v>24</v>
      </c>
      <c r="L171" s="97" t="s">
        <v>26</v>
      </c>
      <c r="M171" s="97" t="s">
        <v>26</v>
      </c>
      <c r="N171" s="97" t="s">
        <v>26</v>
      </c>
      <c r="O171" s="95" t="s">
        <v>24</v>
      </c>
      <c r="P171" s="97" t="s">
        <v>26</v>
      </c>
      <c r="Q171" s="97" t="s">
        <v>26</v>
      </c>
      <c r="R171" s="97" t="s">
        <v>26</v>
      </c>
      <c r="S171" s="97" t="s">
        <v>26</v>
      </c>
      <c r="T171" s="97" t="s">
        <v>26</v>
      </c>
      <c r="U171" s="95" t="s">
        <v>24</v>
      </c>
      <c r="V171" s="95" t="s">
        <v>24</v>
      </c>
      <c r="W171" s="97" t="s">
        <v>26</v>
      </c>
      <c r="X171" s="97" t="s">
        <v>26</v>
      </c>
      <c r="Y171" s="97" t="s">
        <v>26</v>
      </c>
      <c r="Z171" s="97" t="s">
        <v>26</v>
      </c>
      <c r="AA171" s="97" t="s">
        <v>26</v>
      </c>
      <c r="AB171" s="95" t="s">
        <v>24</v>
      </c>
      <c r="AC171" s="95" t="s">
        <v>24</v>
      </c>
      <c r="AD171" s="97" t="s">
        <v>26</v>
      </c>
      <c r="AE171" s="97" t="s">
        <v>26</v>
      </c>
      <c r="AF171" s="97" t="s">
        <v>26</v>
      </c>
      <c r="AG171" s="97" t="s">
        <v>26</v>
      </c>
      <c r="AH171" s="97" t="s">
        <v>26</v>
      </c>
      <c r="AI171" s="98">
        <f t="shared" si="15"/>
        <v>31</v>
      </c>
      <c r="AJ171" s="98">
        <f t="shared" si="17"/>
        <v>18</v>
      </c>
      <c r="AK171" s="98">
        <v>9</v>
      </c>
      <c r="AL171" s="98">
        <v>4</v>
      </c>
      <c r="AM171" s="98">
        <v>0</v>
      </c>
      <c r="AN171" s="98"/>
      <c r="AO171" s="98"/>
      <c r="AP171" s="98"/>
      <c r="AQ171" s="98"/>
      <c r="AR171" s="98"/>
      <c r="AS171" s="98">
        <f t="shared" si="16"/>
        <v>0</v>
      </c>
      <c r="AT171" s="99"/>
    </row>
    <row r="172" customFormat="1" ht="34" customHeight="1" spans="1:46">
      <c r="A172" s="92">
        <f t="shared" si="14"/>
        <v>169</v>
      </c>
      <c r="B172" s="93" t="s">
        <v>263</v>
      </c>
      <c r="C172" s="94" t="s">
        <v>264</v>
      </c>
      <c r="D172" s="95" t="s">
        <v>23</v>
      </c>
      <c r="E172" s="95" t="s">
        <v>23</v>
      </c>
      <c r="F172" s="95" t="s">
        <v>23</v>
      </c>
      <c r="G172" s="95" t="s">
        <v>24</v>
      </c>
      <c r="H172" s="95" t="s">
        <v>24</v>
      </c>
      <c r="I172" s="95" t="s">
        <v>23</v>
      </c>
      <c r="J172" s="95" t="s">
        <v>24</v>
      </c>
      <c r="K172" s="95" t="s">
        <v>24</v>
      </c>
      <c r="L172" s="97" t="s">
        <v>26</v>
      </c>
      <c r="M172" s="97" t="s">
        <v>26</v>
      </c>
      <c r="N172" s="97" t="s">
        <v>26</v>
      </c>
      <c r="O172" s="95" t="s">
        <v>24</v>
      </c>
      <c r="P172" s="97" t="s">
        <v>26</v>
      </c>
      <c r="Q172" s="97" t="s">
        <v>26</v>
      </c>
      <c r="R172" s="97" t="s">
        <v>26</v>
      </c>
      <c r="S172" s="97" t="s">
        <v>26</v>
      </c>
      <c r="T172" s="97" t="s">
        <v>26</v>
      </c>
      <c r="U172" s="95" t="s">
        <v>24</v>
      </c>
      <c r="V172" s="95" t="s">
        <v>24</v>
      </c>
      <c r="W172" s="97" t="s">
        <v>26</v>
      </c>
      <c r="X172" s="97" t="s">
        <v>26</v>
      </c>
      <c r="Y172" s="97" t="s">
        <v>26</v>
      </c>
      <c r="Z172" s="97" t="s">
        <v>26</v>
      </c>
      <c r="AA172" s="97" t="s">
        <v>26</v>
      </c>
      <c r="AB172" s="95" t="s">
        <v>24</v>
      </c>
      <c r="AC172" s="95" t="s">
        <v>24</v>
      </c>
      <c r="AD172" s="97" t="s">
        <v>26</v>
      </c>
      <c r="AE172" s="97" t="s">
        <v>26</v>
      </c>
      <c r="AF172" s="97" t="s">
        <v>26</v>
      </c>
      <c r="AG172" s="97" t="s">
        <v>26</v>
      </c>
      <c r="AH172" s="97" t="s">
        <v>26</v>
      </c>
      <c r="AI172" s="98">
        <f t="shared" si="15"/>
        <v>31</v>
      </c>
      <c r="AJ172" s="98">
        <f t="shared" si="17"/>
        <v>18</v>
      </c>
      <c r="AK172" s="98">
        <v>9</v>
      </c>
      <c r="AL172" s="98">
        <v>4</v>
      </c>
      <c r="AM172" s="98">
        <v>0</v>
      </c>
      <c r="AN172" s="98"/>
      <c r="AO172" s="98"/>
      <c r="AP172" s="98"/>
      <c r="AQ172" s="98"/>
      <c r="AR172" s="98"/>
      <c r="AS172" s="98">
        <f t="shared" si="16"/>
        <v>0</v>
      </c>
      <c r="AT172" s="99"/>
    </row>
    <row r="173" customFormat="1" ht="34" customHeight="1" spans="1:46">
      <c r="A173" s="92">
        <f t="shared" si="14"/>
        <v>170</v>
      </c>
      <c r="B173" s="93" t="s">
        <v>265</v>
      </c>
      <c r="C173" s="94" t="s">
        <v>264</v>
      </c>
      <c r="D173" s="95" t="s">
        <v>23</v>
      </c>
      <c r="E173" s="95" t="s">
        <v>23</v>
      </c>
      <c r="F173" s="95" t="s">
        <v>23</v>
      </c>
      <c r="G173" s="95" t="s">
        <v>24</v>
      </c>
      <c r="H173" s="95" t="s">
        <v>24</v>
      </c>
      <c r="I173" s="95" t="s">
        <v>23</v>
      </c>
      <c r="J173" s="95" t="s">
        <v>24</v>
      </c>
      <c r="K173" s="95" t="s">
        <v>24</v>
      </c>
      <c r="L173" s="97" t="s">
        <v>26</v>
      </c>
      <c r="M173" s="97" t="s">
        <v>26</v>
      </c>
      <c r="N173" s="97" t="s">
        <v>26</v>
      </c>
      <c r="O173" s="95" t="s">
        <v>24</v>
      </c>
      <c r="P173" s="97" t="s">
        <v>26</v>
      </c>
      <c r="Q173" s="97" t="s">
        <v>26</v>
      </c>
      <c r="R173" s="97" t="s">
        <v>26</v>
      </c>
      <c r="S173" s="97" t="s">
        <v>26</v>
      </c>
      <c r="T173" s="97" t="s">
        <v>26</v>
      </c>
      <c r="U173" s="95" t="s">
        <v>24</v>
      </c>
      <c r="V173" s="95" t="s">
        <v>24</v>
      </c>
      <c r="W173" s="97" t="s">
        <v>26</v>
      </c>
      <c r="X173" s="97" t="s">
        <v>26</v>
      </c>
      <c r="Y173" s="97" t="s">
        <v>26</v>
      </c>
      <c r="Z173" s="97" t="s">
        <v>26</v>
      </c>
      <c r="AA173" s="97" t="s">
        <v>26</v>
      </c>
      <c r="AB173" s="95" t="s">
        <v>24</v>
      </c>
      <c r="AC173" s="95" t="s">
        <v>24</v>
      </c>
      <c r="AD173" s="97" t="s">
        <v>26</v>
      </c>
      <c r="AE173" s="97" t="s">
        <v>26</v>
      </c>
      <c r="AF173" s="97" t="s">
        <v>26</v>
      </c>
      <c r="AG173" s="97" t="s">
        <v>26</v>
      </c>
      <c r="AH173" s="97" t="s">
        <v>26</v>
      </c>
      <c r="AI173" s="98">
        <f t="shared" si="15"/>
        <v>31</v>
      </c>
      <c r="AJ173" s="98">
        <f t="shared" si="17"/>
        <v>18</v>
      </c>
      <c r="AK173" s="98">
        <v>9</v>
      </c>
      <c r="AL173" s="98">
        <v>4</v>
      </c>
      <c r="AM173" s="98">
        <v>0</v>
      </c>
      <c r="AN173" s="98"/>
      <c r="AO173" s="98"/>
      <c r="AP173" s="98"/>
      <c r="AQ173" s="98"/>
      <c r="AR173" s="98"/>
      <c r="AS173" s="98">
        <f t="shared" si="16"/>
        <v>0</v>
      </c>
      <c r="AT173" s="99"/>
    </row>
    <row r="174" customFormat="1" ht="34" customHeight="1" spans="1:46">
      <c r="A174" s="92">
        <f t="shared" si="14"/>
        <v>171</v>
      </c>
      <c r="B174" s="93" t="s">
        <v>266</v>
      </c>
      <c r="C174" s="94" t="s">
        <v>264</v>
      </c>
      <c r="D174" s="95" t="s">
        <v>23</v>
      </c>
      <c r="E174" s="95" t="s">
        <v>23</v>
      </c>
      <c r="F174" s="95" t="s">
        <v>23</v>
      </c>
      <c r="G174" s="95" t="s">
        <v>24</v>
      </c>
      <c r="H174" s="95" t="s">
        <v>24</v>
      </c>
      <c r="I174" s="95" t="s">
        <v>23</v>
      </c>
      <c r="J174" s="95" t="s">
        <v>24</v>
      </c>
      <c r="K174" s="95" t="s">
        <v>24</v>
      </c>
      <c r="L174" s="97" t="s">
        <v>26</v>
      </c>
      <c r="M174" s="97" t="s">
        <v>26</v>
      </c>
      <c r="N174" s="97" t="s">
        <v>26</v>
      </c>
      <c r="O174" s="95" t="s">
        <v>24</v>
      </c>
      <c r="P174" s="97" t="s">
        <v>26</v>
      </c>
      <c r="Q174" s="97" t="s">
        <v>26</v>
      </c>
      <c r="R174" s="97" t="s">
        <v>26</v>
      </c>
      <c r="S174" s="97" t="s">
        <v>26</v>
      </c>
      <c r="T174" s="97" t="s">
        <v>26</v>
      </c>
      <c r="U174" s="95" t="s">
        <v>24</v>
      </c>
      <c r="V174" s="95" t="s">
        <v>24</v>
      </c>
      <c r="W174" s="97" t="s">
        <v>26</v>
      </c>
      <c r="X174" s="97" t="s">
        <v>26</v>
      </c>
      <c r="Y174" s="97" t="s">
        <v>26</v>
      </c>
      <c r="Z174" s="97" t="s">
        <v>26</v>
      </c>
      <c r="AA174" s="97" t="s">
        <v>26</v>
      </c>
      <c r="AB174" s="95" t="s">
        <v>24</v>
      </c>
      <c r="AC174" s="95" t="s">
        <v>24</v>
      </c>
      <c r="AD174" s="97" t="s">
        <v>26</v>
      </c>
      <c r="AE174" s="97" t="s">
        <v>26</v>
      </c>
      <c r="AF174" s="97" t="s">
        <v>26</v>
      </c>
      <c r="AG174" s="97" t="s">
        <v>26</v>
      </c>
      <c r="AH174" s="97" t="s">
        <v>26</v>
      </c>
      <c r="AI174" s="98">
        <f t="shared" si="15"/>
        <v>31</v>
      </c>
      <c r="AJ174" s="98">
        <f t="shared" si="17"/>
        <v>18</v>
      </c>
      <c r="AK174" s="98">
        <v>9</v>
      </c>
      <c r="AL174" s="98">
        <v>4</v>
      </c>
      <c r="AM174" s="98">
        <v>0</v>
      </c>
      <c r="AN174" s="98"/>
      <c r="AO174" s="98"/>
      <c r="AP174" s="98"/>
      <c r="AQ174" s="98"/>
      <c r="AR174" s="98"/>
      <c r="AS174" s="98">
        <f t="shared" si="16"/>
        <v>0</v>
      </c>
      <c r="AT174" s="99"/>
    </row>
    <row r="175" customFormat="1" ht="34" customHeight="1" spans="1:46">
      <c r="A175" s="92">
        <f t="shared" si="14"/>
        <v>172</v>
      </c>
      <c r="B175" s="93" t="s">
        <v>267</v>
      </c>
      <c r="C175" s="94" t="s">
        <v>264</v>
      </c>
      <c r="D175" s="95" t="s">
        <v>23</v>
      </c>
      <c r="E175" s="95" t="s">
        <v>23</v>
      </c>
      <c r="F175" s="95" t="s">
        <v>23</v>
      </c>
      <c r="G175" s="95" t="s">
        <v>24</v>
      </c>
      <c r="H175" s="95" t="s">
        <v>24</v>
      </c>
      <c r="I175" s="95" t="s">
        <v>23</v>
      </c>
      <c r="J175" s="95" t="s">
        <v>24</v>
      </c>
      <c r="K175" s="95" t="s">
        <v>24</v>
      </c>
      <c r="L175" s="96" t="s">
        <v>88</v>
      </c>
      <c r="M175" s="97" t="s">
        <v>26</v>
      </c>
      <c r="N175" s="97" t="s">
        <v>26</v>
      </c>
      <c r="O175" s="95" t="s">
        <v>24</v>
      </c>
      <c r="P175" s="97" t="s">
        <v>26</v>
      </c>
      <c r="Q175" s="97" t="s">
        <v>26</v>
      </c>
      <c r="R175" s="97" t="s">
        <v>26</v>
      </c>
      <c r="S175" s="97" t="s">
        <v>26</v>
      </c>
      <c r="T175" s="97" t="s">
        <v>26</v>
      </c>
      <c r="U175" s="95" t="s">
        <v>24</v>
      </c>
      <c r="V175" s="95" t="s">
        <v>24</v>
      </c>
      <c r="W175" s="97" t="s">
        <v>26</v>
      </c>
      <c r="X175" s="97" t="s">
        <v>26</v>
      </c>
      <c r="Y175" s="97" t="s">
        <v>26</v>
      </c>
      <c r="Z175" s="97" t="s">
        <v>26</v>
      </c>
      <c r="AA175" s="97" t="s">
        <v>26</v>
      </c>
      <c r="AB175" s="95" t="s">
        <v>24</v>
      </c>
      <c r="AC175" s="95" t="s">
        <v>24</v>
      </c>
      <c r="AD175" s="96" t="s">
        <v>268</v>
      </c>
      <c r="AE175" s="97" t="s">
        <v>26</v>
      </c>
      <c r="AF175" s="97" t="s">
        <v>26</v>
      </c>
      <c r="AG175" s="97" t="s">
        <v>26</v>
      </c>
      <c r="AH175" s="97" t="s">
        <v>26</v>
      </c>
      <c r="AI175" s="98">
        <f t="shared" si="15"/>
        <v>31</v>
      </c>
      <c r="AJ175" s="98">
        <f t="shared" si="17"/>
        <v>16.69</v>
      </c>
      <c r="AK175" s="98">
        <v>9</v>
      </c>
      <c r="AL175" s="98">
        <v>4</v>
      </c>
      <c r="AM175" s="98">
        <v>1.31</v>
      </c>
      <c r="AN175" s="98"/>
      <c r="AO175" s="98">
        <v>1.31</v>
      </c>
      <c r="AP175" s="98"/>
      <c r="AQ175" s="98"/>
      <c r="AR175" s="98"/>
      <c r="AS175" s="98">
        <f t="shared" si="16"/>
        <v>0</v>
      </c>
      <c r="AT175" s="99" t="s">
        <v>269</v>
      </c>
    </row>
    <row r="176" customFormat="1" ht="34" customHeight="1" spans="1:46">
      <c r="A176" s="92">
        <f t="shared" si="14"/>
        <v>173</v>
      </c>
      <c r="B176" s="93" t="s">
        <v>270</v>
      </c>
      <c r="C176" s="94" t="s">
        <v>271</v>
      </c>
      <c r="D176" s="95" t="s">
        <v>23</v>
      </c>
      <c r="E176" s="95" t="s">
        <v>23</v>
      </c>
      <c r="F176" s="95" t="s">
        <v>23</v>
      </c>
      <c r="G176" s="95" t="s">
        <v>24</v>
      </c>
      <c r="H176" s="95" t="s">
        <v>24</v>
      </c>
      <c r="I176" s="95" t="s">
        <v>23</v>
      </c>
      <c r="J176" s="95" t="s">
        <v>24</v>
      </c>
      <c r="K176" s="95" t="s">
        <v>24</v>
      </c>
      <c r="L176" s="97" t="s">
        <v>26</v>
      </c>
      <c r="M176" s="97" t="s">
        <v>26</v>
      </c>
      <c r="N176" s="97" t="s">
        <v>26</v>
      </c>
      <c r="O176" s="95" t="s">
        <v>24</v>
      </c>
      <c r="P176" s="97" t="s">
        <v>26</v>
      </c>
      <c r="Q176" s="97" t="s">
        <v>26</v>
      </c>
      <c r="R176" s="97" t="s">
        <v>26</v>
      </c>
      <c r="S176" s="97" t="s">
        <v>26</v>
      </c>
      <c r="T176" s="97" t="s">
        <v>26</v>
      </c>
      <c r="U176" s="95" t="s">
        <v>24</v>
      </c>
      <c r="V176" s="95" t="s">
        <v>24</v>
      </c>
      <c r="W176" s="97" t="s">
        <v>26</v>
      </c>
      <c r="X176" s="97" t="s">
        <v>26</v>
      </c>
      <c r="Y176" s="97" t="s">
        <v>26</v>
      </c>
      <c r="Z176" s="97" t="s">
        <v>26</v>
      </c>
      <c r="AA176" s="97" t="s">
        <v>26</v>
      </c>
      <c r="AB176" s="95" t="s">
        <v>24</v>
      </c>
      <c r="AC176" s="95" t="s">
        <v>24</v>
      </c>
      <c r="AD176" s="97" t="s">
        <v>26</v>
      </c>
      <c r="AE176" s="97" t="s">
        <v>26</v>
      </c>
      <c r="AF176" s="100" t="s">
        <v>186</v>
      </c>
      <c r="AG176" s="97" t="s">
        <v>26</v>
      </c>
      <c r="AH176" s="97" t="s">
        <v>26</v>
      </c>
      <c r="AI176" s="98">
        <f t="shared" si="15"/>
        <v>31</v>
      </c>
      <c r="AJ176" s="98">
        <f t="shared" si="17"/>
        <v>17.87</v>
      </c>
      <c r="AK176" s="98">
        <v>9</v>
      </c>
      <c r="AL176" s="98">
        <v>4</v>
      </c>
      <c r="AM176" s="98">
        <v>0.13</v>
      </c>
      <c r="AN176" s="98"/>
      <c r="AO176" s="98"/>
      <c r="AP176" s="98"/>
      <c r="AQ176" s="98"/>
      <c r="AR176" s="98"/>
      <c r="AS176" s="98">
        <f t="shared" si="16"/>
        <v>0.13</v>
      </c>
      <c r="AT176" s="99"/>
    </row>
    <row r="177" customFormat="1" ht="27" customHeight="1" spans="1:46">
      <c r="A177" s="92">
        <f t="shared" si="14"/>
        <v>174</v>
      </c>
      <c r="B177" s="93" t="s">
        <v>272</v>
      </c>
      <c r="C177" s="94" t="s">
        <v>271</v>
      </c>
      <c r="D177" s="95" t="s">
        <v>23</v>
      </c>
      <c r="E177" s="95" t="s">
        <v>23</v>
      </c>
      <c r="F177" s="95" t="s">
        <v>23</v>
      </c>
      <c r="G177" s="95" t="s">
        <v>24</v>
      </c>
      <c r="H177" s="95" t="s">
        <v>24</v>
      </c>
      <c r="I177" s="95" t="s">
        <v>23</v>
      </c>
      <c r="J177" s="95" t="s">
        <v>24</v>
      </c>
      <c r="K177" s="95" t="s">
        <v>24</v>
      </c>
      <c r="L177" s="97" t="s">
        <v>26</v>
      </c>
      <c r="M177" s="97" t="s">
        <v>26</v>
      </c>
      <c r="N177" s="97" t="s">
        <v>26</v>
      </c>
      <c r="O177" s="95" t="s">
        <v>24</v>
      </c>
      <c r="P177" s="97" t="s">
        <v>26</v>
      </c>
      <c r="Q177" s="97" t="s">
        <v>26</v>
      </c>
      <c r="R177" s="97" t="s">
        <v>26</v>
      </c>
      <c r="S177" s="97" t="s">
        <v>26</v>
      </c>
      <c r="T177" s="97" t="s">
        <v>26</v>
      </c>
      <c r="U177" s="95" t="s">
        <v>24</v>
      </c>
      <c r="V177" s="95" t="s">
        <v>24</v>
      </c>
      <c r="W177" s="97" t="s">
        <v>26</v>
      </c>
      <c r="X177" s="97" t="s">
        <v>26</v>
      </c>
      <c r="Y177" s="97" t="s">
        <v>26</v>
      </c>
      <c r="Z177" s="97" t="s">
        <v>26</v>
      </c>
      <c r="AA177" s="97" t="s">
        <v>26</v>
      </c>
      <c r="AB177" s="95" t="s">
        <v>24</v>
      </c>
      <c r="AC177" s="95" t="s">
        <v>24</v>
      </c>
      <c r="AD177" s="97" t="s">
        <v>26</v>
      </c>
      <c r="AE177" s="97" t="s">
        <v>26</v>
      </c>
      <c r="AF177" s="97" t="s">
        <v>26</v>
      </c>
      <c r="AG177" s="97" t="s">
        <v>26</v>
      </c>
      <c r="AH177" s="97" t="s">
        <v>26</v>
      </c>
      <c r="AI177" s="98">
        <f t="shared" si="15"/>
        <v>31</v>
      </c>
      <c r="AJ177" s="98">
        <f t="shared" si="17"/>
        <v>18</v>
      </c>
      <c r="AK177" s="98">
        <v>9</v>
      </c>
      <c r="AL177" s="98">
        <v>4</v>
      </c>
      <c r="AM177" s="98">
        <v>0</v>
      </c>
      <c r="AN177" s="98"/>
      <c r="AO177" s="98"/>
      <c r="AP177" s="98"/>
      <c r="AQ177" s="98"/>
      <c r="AR177" s="98"/>
      <c r="AS177" s="98">
        <f t="shared" si="16"/>
        <v>0</v>
      </c>
      <c r="AT177" s="99"/>
    </row>
    <row r="178" customFormat="1" ht="34" customHeight="1" spans="1:46">
      <c r="A178" s="92">
        <f t="shared" si="14"/>
        <v>175</v>
      </c>
      <c r="B178" s="93" t="s">
        <v>273</v>
      </c>
      <c r="C178" s="94" t="s">
        <v>271</v>
      </c>
      <c r="D178" s="95" t="s">
        <v>23</v>
      </c>
      <c r="E178" s="95" t="s">
        <v>23</v>
      </c>
      <c r="F178" s="95" t="s">
        <v>23</v>
      </c>
      <c r="G178" s="95" t="s">
        <v>24</v>
      </c>
      <c r="H178" s="95" t="s">
        <v>24</v>
      </c>
      <c r="I178" s="95" t="s">
        <v>23</v>
      </c>
      <c r="J178" s="95" t="s">
        <v>24</v>
      </c>
      <c r="K178" s="95" t="s">
        <v>24</v>
      </c>
      <c r="L178" s="97" t="s">
        <v>26</v>
      </c>
      <c r="M178" s="97" t="s">
        <v>26</v>
      </c>
      <c r="N178" s="97" t="s">
        <v>26</v>
      </c>
      <c r="O178" s="95" t="s">
        <v>24</v>
      </c>
      <c r="P178" s="97" t="s">
        <v>26</v>
      </c>
      <c r="Q178" s="97" t="s">
        <v>26</v>
      </c>
      <c r="R178" s="97" t="s">
        <v>26</v>
      </c>
      <c r="S178" s="97" t="s">
        <v>26</v>
      </c>
      <c r="T178" s="97" t="s">
        <v>26</v>
      </c>
      <c r="U178" s="95" t="s">
        <v>24</v>
      </c>
      <c r="V178" s="95" t="s">
        <v>24</v>
      </c>
      <c r="W178" s="97" t="s">
        <v>26</v>
      </c>
      <c r="X178" s="97" t="s">
        <v>26</v>
      </c>
      <c r="Y178" s="97" t="s">
        <v>26</v>
      </c>
      <c r="Z178" s="97" t="s">
        <v>26</v>
      </c>
      <c r="AA178" s="97" t="s">
        <v>26</v>
      </c>
      <c r="AB178" s="95" t="s">
        <v>24</v>
      </c>
      <c r="AC178" s="95" t="s">
        <v>24</v>
      </c>
      <c r="AD178" s="97" t="s">
        <v>26</v>
      </c>
      <c r="AE178" s="97" t="s">
        <v>26</v>
      </c>
      <c r="AF178" s="97" t="s">
        <v>26</v>
      </c>
      <c r="AG178" s="97" t="s">
        <v>26</v>
      </c>
      <c r="AH178" s="97" t="s">
        <v>26</v>
      </c>
      <c r="AI178" s="98">
        <f t="shared" si="15"/>
        <v>31</v>
      </c>
      <c r="AJ178" s="98">
        <f t="shared" si="17"/>
        <v>18</v>
      </c>
      <c r="AK178" s="98">
        <v>9</v>
      </c>
      <c r="AL178" s="98">
        <v>4</v>
      </c>
      <c r="AM178" s="98">
        <v>0</v>
      </c>
      <c r="AN178" s="98"/>
      <c r="AO178" s="98"/>
      <c r="AP178" s="98"/>
      <c r="AQ178" s="98"/>
      <c r="AR178" s="98"/>
      <c r="AS178" s="98">
        <f t="shared" si="16"/>
        <v>0</v>
      </c>
      <c r="AT178" s="99"/>
    </row>
    <row r="179" customFormat="1" ht="34" customHeight="1" spans="1:46">
      <c r="A179" s="92">
        <f t="shared" si="14"/>
        <v>176</v>
      </c>
      <c r="B179" s="93" t="s">
        <v>274</v>
      </c>
      <c r="C179" s="94" t="s">
        <v>275</v>
      </c>
      <c r="D179" s="95" t="s">
        <v>23</v>
      </c>
      <c r="E179" s="95" t="s">
        <v>23</v>
      </c>
      <c r="F179" s="95" t="s">
        <v>23</v>
      </c>
      <c r="G179" s="95" t="s">
        <v>24</v>
      </c>
      <c r="H179" s="95" t="s">
        <v>24</v>
      </c>
      <c r="I179" s="95" t="s">
        <v>23</v>
      </c>
      <c r="J179" s="95" t="s">
        <v>24</v>
      </c>
      <c r="K179" s="95" t="s">
        <v>24</v>
      </c>
      <c r="L179" s="97" t="s">
        <v>26</v>
      </c>
      <c r="M179" s="97" t="s">
        <v>26</v>
      </c>
      <c r="N179" s="97" t="s">
        <v>26</v>
      </c>
      <c r="O179" s="95" t="s">
        <v>24</v>
      </c>
      <c r="P179" s="97" t="s">
        <v>26</v>
      </c>
      <c r="Q179" s="97" t="s">
        <v>26</v>
      </c>
      <c r="R179" s="97" t="s">
        <v>26</v>
      </c>
      <c r="S179" s="97" t="s">
        <v>26</v>
      </c>
      <c r="T179" s="97" t="s">
        <v>26</v>
      </c>
      <c r="U179" s="95" t="s">
        <v>24</v>
      </c>
      <c r="V179" s="95" t="s">
        <v>24</v>
      </c>
      <c r="W179" s="97" t="s">
        <v>26</v>
      </c>
      <c r="X179" s="97" t="s">
        <v>26</v>
      </c>
      <c r="Y179" s="97" t="s">
        <v>26</v>
      </c>
      <c r="Z179" s="97" t="s">
        <v>26</v>
      </c>
      <c r="AA179" s="97" t="s">
        <v>26</v>
      </c>
      <c r="AB179" s="95" t="s">
        <v>24</v>
      </c>
      <c r="AC179" s="95" t="s">
        <v>24</v>
      </c>
      <c r="AD179" s="97" t="s">
        <v>26</v>
      </c>
      <c r="AE179" s="97" t="s">
        <v>26</v>
      </c>
      <c r="AF179" s="97" t="s">
        <v>26</v>
      </c>
      <c r="AG179" s="97" t="s">
        <v>26</v>
      </c>
      <c r="AH179" s="97" t="s">
        <v>26</v>
      </c>
      <c r="AI179" s="98">
        <f t="shared" si="15"/>
        <v>31</v>
      </c>
      <c r="AJ179" s="98">
        <f t="shared" si="17"/>
        <v>18</v>
      </c>
      <c r="AK179" s="98">
        <v>9</v>
      </c>
      <c r="AL179" s="98">
        <v>4</v>
      </c>
      <c r="AM179" s="98">
        <v>0</v>
      </c>
      <c r="AN179" s="98"/>
      <c r="AO179" s="98"/>
      <c r="AP179" s="98"/>
      <c r="AQ179" s="98"/>
      <c r="AR179" s="98"/>
      <c r="AS179" s="98">
        <f t="shared" si="16"/>
        <v>0</v>
      </c>
      <c r="AT179" s="99"/>
    </row>
    <row r="180" customFormat="1" ht="34" customHeight="1" spans="1:46">
      <c r="A180" s="92">
        <f>ROW()-3</f>
        <v>177</v>
      </c>
      <c r="B180" s="93" t="s">
        <v>276</v>
      </c>
      <c r="C180" s="94" t="s">
        <v>275</v>
      </c>
      <c r="D180" s="95" t="s">
        <v>23</v>
      </c>
      <c r="E180" s="95" t="s">
        <v>23</v>
      </c>
      <c r="F180" s="95" t="s">
        <v>23</v>
      </c>
      <c r="G180" s="95" t="s">
        <v>24</v>
      </c>
      <c r="H180" s="95" t="s">
        <v>24</v>
      </c>
      <c r="I180" s="95" t="s">
        <v>23</v>
      </c>
      <c r="J180" s="95" t="s">
        <v>24</v>
      </c>
      <c r="K180" s="95" t="s">
        <v>24</v>
      </c>
      <c r="L180" s="97" t="s">
        <v>26</v>
      </c>
      <c r="M180" s="97" t="s">
        <v>26</v>
      </c>
      <c r="N180" s="97" t="s">
        <v>26</v>
      </c>
      <c r="O180" s="95" t="s">
        <v>24</v>
      </c>
      <c r="P180" s="97" t="s">
        <v>26</v>
      </c>
      <c r="Q180" s="97" t="s">
        <v>26</v>
      </c>
      <c r="R180" s="97" t="s">
        <v>26</v>
      </c>
      <c r="S180" s="97" t="s">
        <v>26</v>
      </c>
      <c r="T180" s="97" t="s">
        <v>26</v>
      </c>
      <c r="U180" s="95" t="s">
        <v>24</v>
      </c>
      <c r="V180" s="95" t="s">
        <v>24</v>
      </c>
      <c r="W180" s="97" t="s">
        <v>26</v>
      </c>
      <c r="X180" s="97" t="s">
        <v>26</v>
      </c>
      <c r="Y180" s="97" t="s">
        <v>26</v>
      </c>
      <c r="Z180" s="97" t="s">
        <v>26</v>
      </c>
      <c r="AA180" s="97" t="s">
        <v>26</v>
      </c>
      <c r="AB180" s="95" t="s">
        <v>24</v>
      </c>
      <c r="AC180" s="95" t="s">
        <v>24</v>
      </c>
      <c r="AD180" s="97" t="s">
        <v>26</v>
      </c>
      <c r="AE180" s="97" t="s">
        <v>26</v>
      </c>
      <c r="AF180" s="97" t="s">
        <v>26</v>
      </c>
      <c r="AG180" s="97" t="s">
        <v>26</v>
      </c>
      <c r="AH180" s="97" t="s">
        <v>26</v>
      </c>
      <c r="AI180" s="98">
        <f t="shared" si="15"/>
        <v>31</v>
      </c>
      <c r="AJ180" s="98">
        <f t="shared" si="17"/>
        <v>18</v>
      </c>
      <c r="AK180" s="98">
        <v>9</v>
      </c>
      <c r="AL180" s="98">
        <v>4</v>
      </c>
      <c r="AM180" s="98">
        <v>0</v>
      </c>
      <c r="AN180" s="98"/>
      <c r="AO180" s="98"/>
      <c r="AP180" s="98"/>
      <c r="AQ180" s="98"/>
      <c r="AR180" s="98"/>
      <c r="AS180" s="98">
        <f t="shared" si="16"/>
        <v>0</v>
      </c>
      <c r="AT180" s="99"/>
    </row>
    <row r="181" customFormat="1" ht="34" customHeight="1" spans="1:46">
      <c r="A181" s="92">
        <f>ROW()-3</f>
        <v>178</v>
      </c>
      <c r="B181" s="93" t="s">
        <v>277</v>
      </c>
      <c r="C181" s="94" t="s">
        <v>275</v>
      </c>
      <c r="D181" s="95" t="s">
        <v>23</v>
      </c>
      <c r="E181" s="95" t="s">
        <v>23</v>
      </c>
      <c r="F181" s="95" t="s">
        <v>23</v>
      </c>
      <c r="G181" s="95" t="s">
        <v>24</v>
      </c>
      <c r="H181" s="95" t="s">
        <v>24</v>
      </c>
      <c r="I181" s="95" t="s">
        <v>23</v>
      </c>
      <c r="J181" s="95" t="s">
        <v>24</v>
      </c>
      <c r="K181" s="95" t="s">
        <v>24</v>
      </c>
      <c r="L181" s="97" t="s">
        <v>26</v>
      </c>
      <c r="M181" s="97" t="s">
        <v>26</v>
      </c>
      <c r="N181" s="97" t="s">
        <v>26</v>
      </c>
      <c r="O181" s="95" t="s">
        <v>24</v>
      </c>
      <c r="P181" s="97" t="s">
        <v>26</v>
      </c>
      <c r="Q181" s="97" t="s">
        <v>26</v>
      </c>
      <c r="R181" s="97" t="s">
        <v>26</v>
      </c>
      <c r="S181" s="97" t="s">
        <v>26</v>
      </c>
      <c r="T181" s="97" t="s">
        <v>26</v>
      </c>
      <c r="U181" s="95" t="s">
        <v>24</v>
      </c>
      <c r="V181" s="95" t="s">
        <v>24</v>
      </c>
      <c r="W181" s="97" t="s">
        <v>26</v>
      </c>
      <c r="X181" s="97" t="s">
        <v>26</v>
      </c>
      <c r="Y181" s="97" t="s">
        <v>26</v>
      </c>
      <c r="Z181" s="97" t="s">
        <v>26</v>
      </c>
      <c r="AA181" s="97" t="s">
        <v>26</v>
      </c>
      <c r="AB181" s="95" t="s">
        <v>24</v>
      </c>
      <c r="AC181" s="95" t="s">
        <v>24</v>
      </c>
      <c r="AD181" s="97" t="s">
        <v>26</v>
      </c>
      <c r="AE181" s="97" t="s">
        <v>26</v>
      </c>
      <c r="AF181" s="97" t="s">
        <v>26</v>
      </c>
      <c r="AG181" s="97" t="s">
        <v>26</v>
      </c>
      <c r="AH181" s="97" t="s">
        <v>26</v>
      </c>
      <c r="AI181" s="98">
        <f t="shared" si="15"/>
        <v>31</v>
      </c>
      <c r="AJ181" s="98">
        <f t="shared" si="17"/>
        <v>18</v>
      </c>
      <c r="AK181" s="98">
        <v>9</v>
      </c>
      <c r="AL181" s="98">
        <v>4</v>
      </c>
      <c r="AM181" s="98">
        <v>0</v>
      </c>
      <c r="AN181" s="98"/>
      <c r="AO181" s="98"/>
      <c r="AP181" s="98"/>
      <c r="AQ181" s="98"/>
      <c r="AR181" s="98"/>
      <c r="AS181" s="98">
        <f t="shared" si="16"/>
        <v>0</v>
      </c>
      <c r="AT181" s="99"/>
    </row>
    <row r="182" customFormat="1" ht="34" customHeight="1" spans="1:46">
      <c r="A182" s="92">
        <f t="shared" ref="A182:A192" si="18">ROW()-3</f>
        <v>179</v>
      </c>
      <c r="B182" s="93" t="s">
        <v>278</v>
      </c>
      <c r="C182" s="94" t="s">
        <v>275</v>
      </c>
      <c r="D182" s="95" t="s">
        <v>23</v>
      </c>
      <c r="E182" s="95" t="s">
        <v>23</v>
      </c>
      <c r="F182" s="95" t="s">
        <v>23</v>
      </c>
      <c r="G182" s="95" t="s">
        <v>24</v>
      </c>
      <c r="H182" s="95" t="s">
        <v>24</v>
      </c>
      <c r="I182" s="95" t="s">
        <v>23</v>
      </c>
      <c r="J182" s="95" t="s">
        <v>24</v>
      </c>
      <c r="K182" s="95" t="s">
        <v>24</v>
      </c>
      <c r="L182" s="97" t="s">
        <v>26</v>
      </c>
      <c r="M182" s="97" t="s">
        <v>26</v>
      </c>
      <c r="N182" s="97" t="s">
        <v>26</v>
      </c>
      <c r="O182" s="95" t="s">
        <v>24</v>
      </c>
      <c r="P182" s="97" t="s">
        <v>26</v>
      </c>
      <c r="Q182" s="97" t="s">
        <v>26</v>
      </c>
      <c r="R182" s="97" t="s">
        <v>26</v>
      </c>
      <c r="S182" s="97" t="s">
        <v>26</v>
      </c>
      <c r="T182" s="97" t="s">
        <v>26</v>
      </c>
      <c r="U182" s="95" t="s">
        <v>24</v>
      </c>
      <c r="V182" s="95" t="s">
        <v>24</v>
      </c>
      <c r="W182" s="97" t="s">
        <v>26</v>
      </c>
      <c r="X182" s="97" t="s">
        <v>26</v>
      </c>
      <c r="Y182" s="97" t="s">
        <v>26</v>
      </c>
      <c r="Z182" s="97" t="s">
        <v>26</v>
      </c>
      <c r="AA182" s="97" t="s">
        <v>26</v>
      </c>
      <c r="AB182" s="95" t="s">
        <v>24</v>
      </c>
      <c r="AC182" s="95" t="s">
        <v>24</v>
      </c>
      <c r="AD182" s="97" t="s">
        <v>26</v>
      </c>
      <c r="AE182" s="97" t="s">
        <v>26</v>
      </c>
      <c r="AF182" s="97" t="s">
        <v>26</v>
      </c>
      <c r="AG182" s="97" t="s">
        <v>26</v>
      </c>
      <c r="AH182" s="97" t="s">
        <v>26</v>
      </c>
      <c r="AI182" s="98">
        <f t="shared" si="15"/>
        <v>31</v>
      </c>
      <c r="AJ182" s="98">
        <f t="shared" si="17"/>
        <v>18</v>
      </c>
      <c r="AK182" s="98">
        <v>9</v>
      </c>
      <c r="AL182" s="98">
        <v>4</v>
      </c>
      <c r="AM182" s="98">
        <v>0</v>
      </c>
      <c r="AN182" s="98"/>
      <c r="AO182" s="98"/>
      <c r="AP182" s="98"/>
      <c r="AQ182" s="98"/>
      <c r="AR182" s="98"/>
      <c r="AS182" s="98">
        <f t="shared" si="16"/>
        <v>0</v>
      </c>
      <c r="AT182" s="99"/>
    </row>
    <row r="183" customFormat="1" ht="34" customHeight="1" spans="1:46">
      <c r="A183" s="92">
        <f t="shared" si="18"/>
        <v>180</v>
      </c>
      <c r="B183" s="93" t="s">
        <v>279</v>
      </c>
      <c r="C183" s="94" t="s">
        <v>275</v>
      </c>
      <c r="D183" s="95" t="s">
        <v>23</v>
      </c>
      <c r="E183" s="95" t="s">
        <v>23</v>
      </c>
      <c r="F183" s="95" t="s">
        <v>23</v>
      </c>
      <c r="G183" s="95" t="s">
        <v>24</v>
      </c>
      <c r="H183" s="95" t="s">
        <v>24</v>
      </c>
      <c r="I183" s="95" t="s">
        <v>23</v>
      </c>
      <c r="J183" s="95" t="s">
        <v>24</v>
      </c>
      <c r="K183" s="95" t="s">
        <v>24</v>
      </c>
      <c r="L183" s="97" t="s">
        <v>26</v>
      </c>
      <c r="M183" s="97" t="s">
        <v>26</v>
      </c>
      <c r="N183" s="97" t="s">
        <v>26</v>
      </c>
      <c r="O183" s="95" t="s">
        <v>24</v>
      </c>
      <c r="P183" s="96" t="s">
        <v>29</v>
      </c>
      <c r="Q183" s="97" t="s">
        <v>26</v>
      </c>
      <c r="R183" s="97" t="s">
        <v>26</v>
      </c>
      <c r="S183" s="96" t="s">
        <v>29</v>
      </c>
      <c r="T183" s="97" t="s">
        <v>26</v>
      </c>
      <c r="U183" s="95" t="s">
        <v>24</v>
      </c>
      <c r="V183" s="95" t="s">
        <v>24</v>
      </c>
      <c r="W183" s="97" t="s">
        <v>26</v>
      </c>
      <c r="X183" s="97" t="s">
        <v>26</v>
      </c>
      <c r="Y183" s="97" t="s">
        <v>26</v>
      </c>
      <c r="Z183" s="97" t="s">
        <v>26</v>
      </c>
      <c r="AA183" s="97" t="s">
        <v>26</v>
      </c>
      <c r="AB183" s="95" t="s">
        <v>24</v>
      </c>
      <c r="AC183" s="95" t="s">
        <v>24</v>
      </c>
      <c r="AD183" s="97" t="s">
        <v>26</v>
      </c>
      <c r="AE183" s="97" t="s">
        <v>26</v>
      </c>
      <c r="AF183" s="97" t="s">
        <v>26</v>
      </c>
      <c r="AG183" s="97" t="s">
        <v>26</v>
      </c>
      <c r="AH183" s="97" t="s">
        <v>26</v>
      </c>
      <c r="AI183" s="98">
        <f t="shared" si="15"/>
        <v>31</v>
      </c>
      <c r="AJ183" s="98">
        <f t="shared" si="17"/>
        <v>17.12</v>
      </c>
      <c r="AK183" s="98">
        <v>9</v>
      </c>
      <c r="AL183" s="98">
        <v>4</v>
      </c>
      <c r="AM183" s="98">
        <v>0.88</v>
      </c>
      <c r="AN183" s="98"/>
      <c r="AO183" s="98">
        <v>0.88</v>
      </c>
      <c r="AP183" s="98"/>
      <c r="AQ183" s="98"/>
      <c r="AR183" s="98"/>
      <c r="AS183" s="98">
        <f t="shared" si="16"/>
        <v>0</v>
      </c>
      <c r="AT183" s="99" t="s">
        <v>280</v>
      </c>
    </row>
    <row r="184" customFormat="1" ht="34" customHeight="1" spans="1:46">
      <c r="A184" s="92">
        <f t="shared" si="18"/>
        <v>181</v>
      </c>
      <c r="B184" s="93" t="s">
        <v>281</v>
      </c>
      <c r="C184" s="94" t="s">
        <v>275</v>
      </c>
      <c r="D184" s="95" t="s">
        <v>23</v>
      </c>
      <c r="E184" s="95" t="s">
        <v>23</v>
      </c>
      <c r="F184" s="95" t="s">
        <v>23</v>
      </c>
      <c r="G184" s="95" t="s">
        <v>24</v>
      </c>
      <c r="H184" s="95" t="s">
        <v>24</v>
      </c>
      <c r="I184" s="95" t="s">
        <v>23</v>
      </c>
      <c r="J184" s="95" t="s">
        <v>24</v>
      </c>
      <c r="K184" s="95" t="s">
        <v>24</v>
      </c>
      <c r="L184" s="97" t="s">
        <v>26</v>
      </c>
      <c r="M184" s="97" t="s">
        <v>26</v>
      </c>
      <c r="N184" s="97" t="s">
        <v>26</v>
      </c>
      <c r="O184" s="95" t="s">
        <v>24</v>
      </c>
      <c r="P184" s="97" t="s">
        <v>26</v>
      </c>
      <c r="Q184" s="97" t="s">
        <v>26</v>
      </c>
      <c r="R184" s="97" t="s">
        <v>26</v>
      </c>
      <c r="S184" s="97" t="s">
        <v>26</v>
      </c>
      <c r="T184" s="97" t="s">
        <v>26</v>
      </c>
      <c r="U184" s="95" t="s">
        <v>24</v>
      </c>
      <c r="V184" s="95" t="s">
        <v>24</v>
      </c>
      <c r="W184" s="97" t="s">
        <v>26</v>
      </c>
      <c r="X184" s="97" t="s">
        <v>26</v>
      </c>
      <c r="Y184" s="97" t="s">
        <v>26</v>
      </c>
      <c r="Z184" s="97" t="s">
        <v>26</v>
      </c>
      <c r="AA184" s="97" t="s">
        <v>26</v>
      </c>
      <c r="AB184" s="95" t="s">
        <v>24</v>
      </c>
      <c r="AC184" s="95" t="s">
        <v>24</v>
      </c>
      <c r="AD184" s="97" t="s">
        <v>26</v>
      </c>
      <c r="AE184" s="97" t="s">
        <v>26</v>
      </c>
      <c r="AF184" s="97" t="s">
        <v>26</v>
      </c>
      <c r="AG184" s="97" t="s">
        <v>26</v>
      </c>
      <c r="AH184" s="97" t="s">
        <v>26</v>
      </c>
      <c r="AI184" s="98">
        <f t="shared" si="15"/>
        <v>31</v>
      </c>
      <c r="AJ184" s="98">
        <f t="shared" si="17"/>
        <v>18</v>
      </c>
      <c r="AK184" s="98">
        <v>9</v>
      </c>
      <c r="AL184" s="98">
        <v>4</v>
      </c>
      <c r="AM184" s="98">
        <v>0</v>
      </c>
      <c r="AN184" s="98"/>
      <c r="AO184" s="98"/>
      <c r="AP184" s="98"/>
      <c r="AQ184" s="98"/>
      <c r="AR184" s="98"/>
      <c r="AS184" s="98">
        <f t="shared" si="16"/>
        <v>0</v>
      </c>
      <c r="AT184" s="99"/>
    </row>
    <row r="185" customFormat="1" ht="34" customHeight="1" spans="1:46">
      <c r="A185" s="92">
        <f t="shared" si="18"/>
        <v>182</v>
      </c>
      <c r="B185" s="93" t="s">
        <v>282</v>
      </c>
      <c r="C185" s="94" t="s">
        <v>275</v>
      </c>
      <c r="D185" s="95" t="s">
        <v>23</v>
      </c>
      <c r="E185" s="95" t="s">
        <v>23</v>
      </c>
      <c r="F185" s="95" t="s">
        <v>23</v>
      </c>
      <c r="G185" s="95" t="s">
        <v>24</v>
      </c>
      <c r="H185" s="95" t="s">
        <v>24</v>
      </c>
      <c r="I185" s="95" t="s">
        <v>23</v>
      </c>
      <c r="J185" s="95" t="s">
        <v>24</v>
      </c>
      <c r="K185" s="95" t="s">
        <v>24</v>
      </c>
      <c r="L185" s="97" t="s">
        <v>26</v>
      </c>
      <c r="M185" s="97" t="s">
        <v>26</v>
      </c>
      <c r="N185" s="97" t="s">
        <v>26</v>
      </c>
      <c r="O185" s="95" t="s">
        <v>24</v>
      </c>
      <c r="P185" s="97" t="s">
        <v>26</v>
      </c>
      <c r="Q185" s="97" t="s">
        <v>26</v>
      </c>
      <c r="R185" s="97" t="s">
        <v>26</v>
      </c>
      <c r="S185" s="97" t="s">
        <v>26</v>
      </c>
      <c r="T185" s="97" t="s">
        <v>26</v>
      </c>
      <c r="U185" s="95" t="s">
        <v>24</v>
      </c>
      <c r="V185" s="95" t="s">
        <v>24</v>
      </c>
      <c r="W185" s="97" t="s">
        <v>26</v>
      </c>
      <c r="X185" s="97" t="s">
        <v>26</v>
      </c>
      <c r="Y185" s="97" t="s">
        <v>26</v>
      </c>
      <c r="Z185" s="97" t="s">
        <v>26</v>
      </c>
      <c r="AA185" s="97" t="s">
        <v>26</v>
      </c>
      <c r="AB185" s="95" t="s">
        <v>24</v>
      </c>
      <c r="AC185" s="95" t="s">
        <v>24</v>
      </c>
      <c r="AD185" s="97" t="s">
        <v>26</v>
      </c>
      <c r="AE185" s="97" t="s">
        <v>26</v>
      </c>
      <c r="AF185" s="97" t="s">
        <v>26</v>
      </c>
      <c r="AG185" s="97" t="s">
        <v>26</v>
      </c>
      <c r="AH185" s="97" t="s">
        <v>26</v>
      </c>
      <c r="AI185" s="98">
        <f t="shared" si="15"/>
        <v>31</v>
      </c>
      <c r="AJ185" s="98">
        <f t="shared" si="17"/>
        <v>18</v>
      </c>
      <c r="AK185" s="98">
        <v>9</v>
      </c>
      <c r="AL185" s="98">
        <v>4</v>
      </c>
      <c r="AM185" s="98">
        <v>0</v>
      </c>
      <c r="AN185" s="98"/>
      <c r="AO185" s="98"/>
      <c r="AP185" s="98"/>
      <c r="AQ185" s="98"/>
      <c r="AR185" s="98"/>
      <c r="AS185" s="98">
        <f t="shared" si="16"/>
        <v>0</v>
      </c>
      <c r="AT185" s="99"/>
    </row>
    <row r="186" customFormat="1" ht="34" customHeight="1" spans="1:46">
      <c r="A186" s="92">
        <f t="shared" si="18"/>
        <v>183</v>
      </c>
      <c r="B186" s="93" t="s">
        <v>283</v>
      </c>
      <c r="C186" s="94" t="s">
        <v>275</v>
      </c>
      <c r="D186" s="95" t="s">
        <v>23</v>
      </c>
      <c r="E186" s="95" t="s">
        <v>23</v>
      </c>
      <c r="F186" s="95" t="s">
        <v>23</v>
      </c>
      <c r="G186" s="95" t="s">
        <v>24</v>
      </c>
      <c r="H186" s="95" t="s">
        <v>24</v>
      </c>
      <c r="I186" s="95" t="s">
        <v>23</v>
      </c>
      <c r="J186" s="95" t="s">
        <v>24</v>
      </c>
      <c r="K186" s="95" t="s">
        <v>24</v>
      </c>
      <c r="L186" s="97" t="s">
        <v>26</v>
      </c>
      <c r="M186" s="97" t="s">
        <v>26</v>
      </c>
      <c r="N186" s="97" t="s">
        <v>26</v>
      </c>
      <c r="O186" s="95" t="s">
        <v>24</v>
      </c>
      <c r="P186" s="97" t="s">
        <v>26</v>
      </c>
      <c r="Q186" s="97" t="s">
        <v>26</v>
      </c>
      <c r="R186" s="97" t="s">
        <v>26</v>
      </c>
      <c r="S186" s="97" t="s">
        <v>26</v>
      </c>
      <c r="T186" s="97" t="s">
        <v>26</v>
      </c>
      <c r="U186" s="95" t="s">
        <v>24</v>
      </c>
      <c r="V186" s="95" t="s">
        <v>24</v>
      </c>
      <c r="W186" s="97" t="s">
        <v>26</v>
      </c>
      <c r="X186" s="97" t="s">
        <v>26</v>
      </c>
      <c r="Y186" s="97" t="s">
        <v>26</v>
      </c>
      <c r="Z186" s="97" t="s">
        <v>26</v>
      </c>
      <c r="AA186" s="97" t="s">
        <v>26</v>
      </c>
      <c r="AB186" s="95" t="s">
        <v>24</v>
      </c>
      <c r="AC186" s="95" t="s">
        <v>24</v>
      </c>
      <c r="AD186" s="97" t="s">
        <v>26</v>
      </c>
      <c r="AE186" s="97" t="s">
        <v>26</v>
      </c>
      <c r="AF186" s="97" t="s">
        <v>26</v>
      </c>
      <c r="AG186" s="97" t="s">
        <v>26</v>
      </c>
      <c r="AH186" s="97" t="s">
        <v>26</v>
      </c>
      <c r="AI186" s="98">
        <f t="shared" si="15"/>
        <v>31</v>
      </c>
      <c r="AJ186" s="98">
        <f t="shared" si="17"/>
        <v>18</v>
      </c>
      <c r="AK186" s="98">
        <v>9</v>
      </c>
      <c r="AL186" s="98">
        <v>4</v>
      </c>
      <c r="AM186" s="98">
        <v>0</v>
      </c>
      <c r="AN186" s="98"/>
      <c r="AO186" s="98"/>
      <c r="AP186" s="98"/>
      <c r="AQ186" s="98"/>
      <c r="AR186" s="98"/>
      <c r="AS186" s="98">
        <f t="shared" si="16"/>
        <v>0</v>
      </c>
      <c r="AT186" s="99"/>
    </row>
    <row r="187" customFormat="1" ht="34" customHeight="1" spans="1:46">
      <c r="A187" s="92">
        <f t="shared" si="18"/>
        <v>184</v>
      </c>
      <c r="B187" s="93" t="s">
        <v>284</v>
      </c>
      <c r="C187" s="94" t="s">
        <v>275</v>
      </c>
      <c r="D187" s="95" t="s">
        <v>23</v>
      </c>
      <c r="E187" s="95" t="s">
        <v>23</v>
      </c>
      <c r="F187" s="95" t="s">
        <v>23</v>
      </c>
      <c r="G187" s="95" t="s">
        <v>24</v>
      </c>
      <c r="H187" s="95" t="s">
        <v>24</v>
      </c>
      <c r="I187" s="95" t="s">
        <v>23</v>
      </c>
      <c r="J187" s="95" t="s">
        <v>24</v>
      </c>
      <c r="K187" s="95" t="s">
        <v>24</v>
      </c>
      <c r="L187" s="97" t="s">
        <v>26</v>
      </c>
      <c r="M187" s="97" t="s">
        <v>26</v>
      </c>
      <c r="N187" s="97" t="s">
        <v>26</v>
      </c>
      <c r="O187" s="95" t="s">
        <v>24</v>
      </c>
      <c r="P187" s="97" t="s">
        <v>26</v>
      </c>
      <c r="Q187" s="97" t="s">
        <v>26</v>
      </c>
      <c r="R187" s="97" t="s">
        <v>26</v>
      </c>
      <c r="S187" s="97" t="s">
        <v>26</v>
      </c>
      <c r="T187" s="97" t="s">
        <v>26</v>
      </c>
      <c r="U187" s="95" t="s">
        <v>24</v>
      </c>
      <c r="V187" s="95" t="s">
        <v>24</v>
      </c>
      <c r="W187" s="97" t="s">
        <v>26</v>
      </c>
      <c r="X187" s="97" t="s">
        <v>26</v>
      </c>
      <c r="Y187" s="97" t="s">
        <v>26</v>
      </c>
      <c r="Z187" s="97" t="s">
        <v>26</v>
      </c>
      <c r="AA187" s="97" t="s">
        <v>26</v>
      </c>
      <c r="AB187" s="95" t="s">
        <v>24</v>
      </c>
      <c r="AC187" s="95" t="s">
        <v>24</v>
      </c>
      <c r="AD187" s="97" t="s">
        <v>26</v>
      </c>
      <c r="AE187" s="97" t="s">
        <v>26</v>
      </c>
      <c r="AF187" s="97" t="s">
        <v>26</v>
      </c>
      <c r="AG187" s="97" t="s">
        <v>26</v>
      </c>
      <c r="AH187" s="97" t="s">
        <v>26</v>
      </c>
      <c r="AI187" s="98">
        <f t="shared" si="15"/>
        <v>31</v>
      </c>
      <c r="AJ187" s="98">
        <f t="shared" si="17"/>
        <v>18</v>
      </c>
      <c r="AK187" s="98">
        <v>9</v>
      </c>
      <c r="AL187" s="98">
        <v>4</v>
      </c>
      <c r="AM187" s="98">
        <v>0</v>
      </c>
      <c r="AN187" s="98"/>
      <c r="AO187" s="98"/>
      <c r="AP187" s="98"/>
      <c r="AQ187" s="98"/>
      <c r="AR187" s="98"/>
      <c r="AS187" s="98">
        <f t="shared" si="16"/>
        <v>0</v>
      </c>
      <c r="AT187" s="99"/>
    </row>
    <row r="188" customFormat="1" ht="35" customHeight="1" spans="1:46">
      <c r="A188" s="92">
        <f t="shared" si="18"/>
        <v>185</v>
      </c>
      <c r="B188" s="93" t="s">
        <v>285</v>
      </c>
      <c r="C188" s="94" t="s">
        <v>275</v>
      </c>
      <c r="D188" s="95" t="s">
        <v>23</v>
      </c>
      <c r="E188" s="95" t="s">
        <v>23</v>
      </c>
      <c r="F188" s="95" t="s">
        <v>23</v>
      </c>
      <c r="G188" s="95" t="s">
        <v>24</v>
      </c>
      <c r="H188" s="95" t="s">
        <v>24</v>
      </c>
      <c r="I188" s="95" t="s">
        <v>23</v>
      </c>
      <c r="J188" s="95" t="s">
        <v>24</v>
      </c>
      <c r="K188" s="95" t="s">
        <v>24</v>
      </c>
      <c r="L188" s="97" t="s">
        <v>26</v>
      </c>
      <c r="M188" s="97" t="s">
        <v>26</v>
      </c>
      <c r="N188" s="97" t="s">
        <v>26</v>
      </c>
      <c r="O188" s="95" t="s">
        <v>24</v>
      </c>
      <c r="P188" s="97" t="s">
        <v>26</v>
      </c>
      <c r="Q188" s="97" t="s">
        <v>26</v>
      </c>
      <c r="R188" s="97" t="s">
        <v>26</v>
      </c>
      <c r="S188" s="97" t="s">
        <v>26</v>
      </c>
      <c r="T188" s="97" t="s">
        <v>26</v>
      </c>
      <c r="U188" s="95" t="s">
        <v>24</v>
      </c>
      <c r="V188" s="95" t="s">
        <v>24</v>
      </c>
      <c r="W188" s="97" t="s">
        <v>26</v>
      </c>
      <c r="X188" s="97" t="s">
        <v>26</v>
      </c>
      <c r="Y188" s="97" t="s">
        <v>26</v>
      </c>
      <c r="Z188" s="97" t="s">
        <v>26</v>
      </c>
      <c r="AA188" s="97" t="s">
        <v>26</v>
      </c>
      <c r="AB188" s="95" t="s">
        <v>24</v>
      </c>
      <c r="AC188" s="95" t="s">
        <v>24</v>
      </c>
      <c r="AD188" s="97" t="s">
        <v>26</v>
      </c>
      <c r="AE188" s="97" t="s">
        <v>26</v>
      </c>
      <c r="AF188" s="97" t="s">
        <v>26</v>
      </c>
      <c r="AG188" s="97" t="s">
        <v>26</v>
      </c>
      <c r="AH188" s="97" t="s">
        <v>26</v>
      </c>
      <c r="AI188" s="98">
        <f t="shared" si="15"/>
        <v>31</v>
      </c>
      <c r="AJ188" s="98">
        <f t="shared" si="17"/>
        <v>18</v>
      </c>
      <c r="AK188" s="98">
        <v>9</v>
      </c>
      <c r="AL188" s="98">
        <v>4</v>
      </c>
      <c r="AM188" s="98">
        <v>0</v>
      </c>
      <c r="AN188" s="98"/>
      <c r="AO188" s="98"/>
      <c r="AP188" s="98"/>
      <c r="AQ188" s="98"/>
      <c r="AR188" s="98"/>
      <c r="AS188" s="98">
        <f t="shared" si="16"/>
        <v>0</v>
      </c>
      <c r="AT188" s="99"/>
    </row>
    <row r="189" customFormat="1" ht="30" customHeight="1" spans="1:46">
      <c r="A189" s="92">
        <f t="shared" si="18"/>
        <v>186</v>
      </c>
      <c r="B189" s="93" t="s">
        <v>286</v>
      </c>
      <c r="C189" s="94" t="s">
        <v>275</v>
      </c>
      <c r="D189" s="95" t="s">
        <v>23</v>
      </c>
      <c r="E189" s="95" t="s">
        <v>23</v>
      </c>
      <c r="F189" s="95" t="s">
        <v>23</v>
      </c>
      <c r="G189" s="95" t="s">
        <v>24</v>
      </c>
      <c r="H189" s="95" t="s">
        <v>24</v>
      </c>
      <c r="I189" s="95" t="s">
        <v>23</v>
      </c>
      <c r="J189" s="95" t="s">
        <v>24</v>
      </c>
      <c r="K189" s="95" t="s">
        <v>24</v>
      </c>
      <c r="L189" s="97" t="s">
        <v>26</v>
      </c>
      <c r="M189" s="97" t="s">
        <v>26</v>
      </c>
      <c r="N189" s="97" t="s">
        <v>26</v>
      </c>
      <c r="O189" s="95" t="s">
        <v>24</v>
      </c>
      <c r="P189" s="97" t="s">
        <v>26</v>
      </c>
      <c r="Q189" s="97" t="s">
        <v>26</v>
      </c>
      <c r="R189" s="97" t="s">
        <v>26</v>
      </c>
      <c r="S189" s="97" t="s">
        <v>26</v>
      </c>
      <c r="T189" s="97" t="s">
        <v>26</v>
      </c>
      <c r="U189" s="95" t="s">
        <v>24</v>
      </c>
      <c r="V189" s="95" t="s">
        <v>24</v>
      </c>
      <c r="W189" s="97" t="s">
        <v>26</v>
      </c>
      <c r="X189" s="97" t="s">
        <v>26</v>
      </c>
      <c r="Y189" s="97" t="s">
        <v>26</v>
      </c>
      <c r="Z189" s="97" t="s">
        <v>26</v>
      </c>
      <c r="AA189" s="97" t="s">
        <v>26</v>
      </c>
      <c r="AB189" s="95" t="s">
        <v>24</v>
      </c>
      <c r="AC189" s="95" t="s">
        <v>24</v>
      </c>
      <c r="AD189" s="97" t="s">
        <v>26</v>
      </c>
      <c r="AE189" s="97" t="s">
        <v>26</v>
      </c>
      <c r="AF189" s="97" t="s">
        <v>26</v>
      </c>
      <c r="AG189" s="97" t="s">
        <v>26</v>
      </c>
      <c r="AH189" s="97" t="s">
        <v>26</v>
      </c>
      <c r="AI189" s="98">
        <f t="shared" si="15"/>
        <v>31</v>
      </c>
      <c r="AJ189" s="98">
        <f t="shared" si="17"/>
        <v>18</v>
      </c>
      <c r="AK189" s="98">
        <v>9</v>
      </c>
      <c r="AL189" s="98">
        <v>4</v>
      </c>
      <c r="AM189" s="98">
        <v>0</v>
      </c>
      <c r="AN189" s="98"/>
      <c r="AO189" s="98"/>
      <c r="AP189" s="98"/>
      <c r="AQ189" s="98"/>
      <c r="AR189" s="98"/>
      <c r="AS189" s="98">
        <f t="shared" si="16"/>
        <v>0</v>
      </c>
      <c r="AT189" s="99"/>
    </row>
    <row r="190" customFormat="1" ht="34" customHeight="1" spans="1:46">
      <c r="A190" s="92">
        <f t="shared" si="18"/>
        <v>187</v>
      </c>
      <c r="B190" s="93" t="s">
        <v>287</v>
      </c>
      <c r="C190" s="94" t="s">
        <v>288</v>
      </c>
      <c r="D190" s="95" t="s">
        <v>23</v>
      </c>
      <c r="E190" s="95" t="s">
        <v>23</v>
      </c>
      <c r="F190" s="95" t="s">
        <v>23</v>
      </c>
      <c r="G190" s="95" t="s">
        <v>24</v>
      </c>
      <c r="H190" s="95" t="s">
        <v>24</v>
      </c>
      <c r="I190" s="95" t="s">
        <v>23</v>
      </c>
      <c r="J190" s="95" t="s">
        <v>24</v>
      </c>
      <c r="K190" s="95" t="s">
        <v>24</v>
      </c>
      <c r="L190" s="97" t="s">
        <v>26</v>
      </c>
      <c r="M190" s="97" t="s">
        <v>26</v>
      </c>
      <c r="N190" s="97" t="s">
        <v>26</v>
      </c>
      <c r="O190" s="95" t="s">
        <v>24</v>
      </c>
      <c r="P190" s="97" t="s">
        <v>26</v>
      </c>
      <c r="Q190" s="97" t="s">
        <v>26</v>
      </c>
      <c r="R190" s="97" t="s">
        <v>26</v>
      </c>
      <c r="S190" s="97" t="s">
        <v>26</v>
      </c>
      <c r="T190" s="97" t="s">
        <v>26</v>
      </c>
      <c r="U190" s="95" t="s">
        <v>24</v>
      </c>
      <c r="V190" s="95" t="s">
        <v>24</v>
      </c>
      <c r="W190" s="97" t="s">
        <v>26</v>
      </c>
      <c r="X190" s="97" t="s">
        <v>26</v>
      </c>
      <c r="Y190" s="97" t="s">
        <v>26</v>
      </c>
      <c r="Z190" s="97" t="s">
        <v>26</v>
      </c>
      <c r="AA190" s="97" t="s">
        <v>26</v>
      </c>
      <c r="AB190" s="95" t="s">
        <v>24</v>
      </c>
      <c r="AC190" s="95" t="s">
        <v>24</v>
      </c>
      <c r="AD190" s="97" t="s">
        <v>26</v>
      </c>
      <c r="AE190" s="97" t="s">
        <v>26</v>
      </c>
      <c r="AF190" s="97" t="s">
        <v>26</v>
      </c>
      <c r="AG190" s="97" t="s">
        <v>26</v>
      </c>
      <c r="AH190" s="97" t="s">
        <v>26</v>
      </c>
      <c r="AI190" s="98">
        <f t="shared" si="15"/>
        <v>31</v>
      </c>
      <c r="AJ190" s="98">
        <f t="shared" si="17"/>
        <v>18</v>
      </c>
      <c r="AK190" s="98">
        <v>9</v>
      </c>
      <c r="AL190" s="98">
        <v>4</v>
      </c>
      <c r="AM190" s="98">
        <v>0</v>
      </c>
      <c r="AN190" s="98"/>
      <c r="AO190" s="98"/>
      <c r="AP190" s="98"/>
      <c r="AQ190" s="98"/>
      <c r="AR190" s="98"/>
      <c r="AS190" s="98">
        <f t="shared" si="16"/>
        <v>0</v>
      </c>
      <c r="AT190" s="99"/>
    </row>
    <row r="191" customFormat="1" ht="34" customHeight="1" spans="1:46">
      <c r="A191" s="92">
        <f t="shared" si="18"/>
        <v>188</v>
      </c>
      <c r="B191" s="93" t="s">
        <v>289</v>
      </c>
      <c r="C191" s="94" t="s">
        <v>288</v>
      </c>
      <c r="D191" s="95" t="s">
        <v>23</v>
      </c>
      <c r="E191" s="95" t="s">
        <v>23</v>
      </c>
      <c r="F191" s="95" t="s">
        <v>23</v>
      </c>
      <c r="G191" s="95" t="s">
        <v>24</v>
      </c>
      <c r="H191" s="95" t="s">
        <v>24</v>
      </c>
      <c r="I191" s="95" t="s">
        <v>23</v>
      </c>
      <c r="J191" s="95" t="s">
        <v>24</v>
      </c>
      <c r="K191" s="95" t="s">
        <v>24</v>
      </c>
      <c r="L191" s="97" t="s">
        <v>26</v>
      </c>
      <c r="M191" s="97" t="s">
        <v>26</v>
      </c>
      <c r="N191" s="97" t="s">
        <v>26</v>
      </c>
      <c r="O191" s="95" t="s">
        <v>24</v>
      </c>
      <c r="P191" s="97" t="s">
        <v>26</v>
      </c>
      <c r="Q191" s="97" t="s">
        <v>26</v>
      </c>
      <c r="R191" s="97" t="s">
        <v>26</v>
      </c>
      <c r="S191" s="97" t="s">
        <v>26</v>
      </c>
      <c r="T191" s="97" t="s">
        <v>26</v>
      </c>
      <c r="U191" s="95" t="s">
        <v>24</v>
      </c>
      <c r="V191" s="95" t="s">
        <v>24</v>
      </c>
      <c r="W191" s="97" t="s">
        <v>26</v>
      </c>
      <c r="X191" s="97" t="s">
        <v>26</v>
      </c>
      <c r="Y191" s="97" t="s">
        <v>26</v>
      </c>
      <c r="Z191" s="97" t="s">
        <v>26</v>
      </c>
      <c r="AA191" s="97" t="s">
        <v>26</v>
      </c>
      <c r="AB191" s="95" t="s">
        <v>24</v>
      </c>
      <c r="AC191" s="95" t="s">
        <v>24</v>
      </c>
      <c r="AD191" s="97" t="s">
        <v>26</v>
      </c>
      <c r="AE191" s="97" t="s">
        <v>26</v>
      </c>
      <c r="AF191" s="97" t="s">
        <v>26</v>
      </c>
      <c r="AG191" s="97" t="s">
        <v>26</v>
      </c>
      <c r="AH191" s="97" t="s">
        <v>26</v>
      </c>
      <c r="AI191" s="98">
        <f t="shared" si="15"/>
        <v>31</v>
      </c>
      <c r="AJ191" s="98">
        <f t="shared" si="17"/>
        <v>18</v>
      </c>
      <c r="AK191" s="98">
        <v>9</v>
      </c>
      <c r="AL191" s="98">
        <v>4</v>
      </c>
      <c r="AM191" s="98">
        <v>0</v>
      </c>
      <c r="AN191" s="98"/>
      <c r="AO191" s="98"/>
      <c r="AP191" s="98"/>
      <c r="AQ191" s="98"/>
      <c r="AR191" s="98"/>
      <c r="AS191" s="98">
        <f t="shared" si="16"/>
        <v>0</v>
      </c>
      <c r="AT191" s="99"/>
    </row>
    <row r="192" customFormat="1" ht="34" customHeight="1" spans="1:46">
      <c r="A192" s="92">
        <f t="shared" si="18"/>
        <v>189</v>
      </c>
      <c r="B192" s="93" t="s">
        <v>290</v>
      </c>
      <c r="C192" s="94" t="s">
        <v>271</v>
      </c>
      <c r="D192" s="95" t="s">
        <v>23</v>
      </c>
      <c r="E192" s="95" t="s">
        <v>23</v>
      </c>
      <c r="F192" s="95" t="s">
        <v>23</v>
      </c>
      <c r="G192" s="95" t="s">
        <v>24</v>
      </c>
      <c r="H192" s="95" t="s">
        <v>24</v>
      </c>
      <c r="I192" s="95" t="s">
        <v>23</v>
      </c>
      <c r="J192" s="95" t="s">
        <v>24</v>
      </c>
      <c r="K192" s="95" t="s">
        <v>24</v>
      </c>
      <c r="L192" s="97" t="s">
        <v>26</v>
      </c>
      <c r="M192" s="97" t="s">
        <v>26</v>
      </c>
      <c r="N192" s="97" t="s">
        <v>26</v>
      </c>
      <c r="O192" s="95" t="s">
        <v>24</v>
      </c>
      <c r="P192" s="97" t="s">
        <v>26</v>
      </c>
      <c r="Q192" s="97" t="s">
        <v>26</v>
      </c>
      <c r="R192" s="97" t="s">
        <v>26</v>
      </c>
      <c r="S192" s="97" t="s">
        <v>26</v>
      </c>
      <c r="T192" s="97" t="s">
        <v>26</v>
      </c>
      <c r="U192" s="95" t="s">
        <v>24</v>
      </c>
      <c r="V192" s="95" t="s">
        <v>24</v>
      </c>
      <c r="W192" s="97" t="s">
        <v>26</v>
      </c>
      <c r="X192" s="97" t="s">
        <v>26</v>
      </c>
      <c r="Y192" s="97" t="s">
        <v>26</v>
      </c>
      <c r="Z192" s="97" t="s">
        <v>26</v>
      </c>
      <c r="AA192" s="97" t="s">
        <v>26</v>
      </c>
      <c r="AB192" s="95" t="s">
        <v>24</v>
      </c>
      <c r="AC192" s="95" t="s">
        <v>24</v>
      </c>
      <c r="AD192" s="97" t="s">
        <v>26</v>
      </c>
      <c r="AE192" s="97" t="s">
        <v>26</v>
      </c>
      <c r="AF192" s="97" t="s">
        <v>26</v>
      </c>
      <c r="AG192" s="97" t="s">
        <v>26</v>
      </c>
      <c r="AH192" s="97" t="s">
        <v>26</v>
      </c>
      <c r="AI192" s="98">
        <f t="shared" si="15"/>
        <v>31</v>
      </c>
      <c r="AJ192" s="98">
        <f t="shared" si="17"/>
        <v>18</v>
      </c>
      <c r="AK192" s="98">
        <v>9</v>
      </c>
      <c r="AL192" s="98">
        <v>4</v>
      </c>
      <c r="AM192" s="98">
        <v>0</v>
      </c>
      <c r="AN192" s="98"/>
      <c r="AO192" s="98"/>
      <c r="AP192" s="98"/>
      <c r="AQ192" s="98"/>
      <c r="AR192" s="98"/>
      <c r="AS192" s="98">
        <f t="shared" si="16"/>
        <v>0</v>
      </c>
      <c r="AT192" s="99"/>
    </row>
    <row r="193" customFormat="1" ht="26" customHeight="1" spans="1:46">
      <c r="A193" s="113"/>
      <c r="B193" s="14"/>
      <c r="C193" s="114"/>
      <c r="D193" s="115"/>
      <c r="E193" s="116"/>
      <c r="F193" s="116"/>
      <c r="G193" s="115"/>
      <c r="H193" s="115"/>
      <c r="I193" s="115"/>
      <c r="J193" s="115"/>
      <c r="K193" s="115"/>
      <c r="L193" s="116"/>
      <c r="M193" s="116"/>
      <c r="N193" s="115"/>
      <c r="O193" s="115"/>
      <c r="P193" s="115"/>
      <c r="Q193" s="115"/>
      <c r="R193" s="115"/>
      <c r="S193" s="116"/>
      <c r="T193" s="116"/>
      <c r="U193" s="115"/>
      <c r="V193" s="115"/>
      <c r="W193" s="115"/>
      <c r="X193" s="115"/>
      <c r="Y193" s="115"/>
      <c r="Z193" s="116"/>
      <c r="AA193" s="116"/>
      <c r="AB193" s="115"/>
      <c r="AC193" s="115"/>
      <c r="AD193" s="116"/>
      <c r="AE193" s="115"/>
      <c r="AF193" s="116"/>
      <c r="AG193" s="116"/>
      <c r="AH193" s="116"/>
      <c r="AI193" s="98">
        <f t="shared" ref="AI193:AS193" si="19">SUM(AI4:AI192)</f>
        <v>5859</v>
      </c>
      <c r="AJ193" s="98">
        <f t="shared" si="19"/>
        <v>3157.63</v>
      </c>
      <c r="AK193" s="98">
        <f t="shared" si="19"/>
        <v>1701</v>
      </c>
      <c r="AL193" s="98">
        <f t="shared" si="19"/>
        <v>756</v>
      </c>
      <c r="AM193" s="98">
        <f t="shared" si="19"/>
        <v>244.37</v>
      </c>
      <c r="AN193" s="98">
        <f t="shared" si="19"/>
        <v>1</v>
      </c>
      <c r="AO193" s="98">
        <f t="shared" si="19"/>
        <v>11.08</v>
      </c>
      <c r="AP193" s="98">
        <f t="shared" si="19"/>
        <v>6</v>
      </c>
      <c r="AQ193" s="98">
        <f t="shared" si="19"/>
        <v>3</v>
      </c>
      <c r="AR193" s="98">
        <f t="shared" si="19"/>
        <v>40</v>
      </c>
      <c r="AS193" s="98">
        <f t="shared" si="19"/>
        <v>263.29</v>
      </c>
      <c r="AT193" s="71"/>
    </row>
    <row r="194" ht="13.5" spans="1:46">
      <c r="A194" s="113"/>
      <c r="D194" s="82"/>
      <c r="AT194" s="128"/>
    </row>
    <row r="195" spans="1:46">
      <c r="B195" s="118"/>
      <c r="C195" s="119"/>
      <c r="D195" s="82"/>
      <c r="AD195" s="115"/>
      <c r="AE195" s="123"/>
      <c r="AF195" s="115"/>
      <c r="AG195" s="115"/>
      <c r="AH195" s="115"/>
      <c r="AI195" s="115"/>
      <c r="AJ195" s="115"/>
      <c r="AK195" s="115"/>
      <c r="AL195" s="115"/>
      <c r="AM195" s="115"/>
      <c r="AN195" s="115"/>
      <c r="AO195" s="115"/>
      <c r="AP195" s="115"/>
      <c r="AQ195" s="115"/>
      <c r="AR195" s="115"/>
      <c r="AS195" s="115"/>
      <c r="AT195" s="131"/>
    </row>
    <row r="196" ht="13.5" spans="1:46">
      <c r="A196" s="120" t="s">
        <v>291</v>
      </c>
      <c r="D196" s="82"/>
      <c r="V196" s="121"/>
      <c r="AD196" s="122"/>
      <c r="AE196" s="117"/>
      <c r="AF196" s="122"/>
      <c r="AG196" s="122"/>
      <c r="AH196" s="122"/>
      <c r="AI196" s="122"/>
      <c r="AJ196" s="122"/>
      <c r="AK196" s="122"/>
      <c r="AL196" s="122"/>
      <c r="AM196" s="122"/>
      <c r="AN196" s="122"/>
      <c r="AO196" s="122"/>
      <c r="AP196" s="122"/>
      <c r="AQ196" s="122"/>
      <c r="AR196" s="122"/>
      <c r="AS196" s="122"/>
      <c r="AT196" s="128"/>
    </row>
    <row r="197" ht="13.5" spans="1:46">
      <c r="A197" s="120"/>
      <c r="D197" s="82"/>
      <c r="V197" s="121"/>
      <c r="AD197" s="122"/>
      <c r="AE197" s="117"/>
      <c r="AF197" s="122"/>
      <c r="AG197" s="122"/>
      <c r="AH197" s="122"/>
      <c r="AI197" s="122"/>
      <c r="AJ197" s="122"/>
      <c r="AK197" s="122"/>
      <c r="AL197" s="122"/>
      <c r="AM197" s="122"/>
      <c r="AN197" s="122"/>
      <c r="AO197" s="122"/>
      <c r="AP197" s="122"/>
      <c r="AQ197" s="122"/>
      <c r="AR197" s="122"/>
      <c r="AS197" s="122"/>
      <c r="AT197" s="128"/>
    </row>
    <row r="198" ht="13.5" spans="1:46">
      <c r="A198" s="120"/>
      <c r="D198" s="82"/>
      <c r="K198" s="100" t="s">
        <v>292</v>
      </c>
      <c r="L198" s="132" t="s">
        <v>293</v>
      </c>
      <c r="M198" s="103" t="s">
        <v>211</v>
      </c>
      <c r="V198" s="121"/>
      <c r="AD198" s="122"/>
      <c r="AE198" s="117"/>
      <c r="AF198" s="122"/>
      <c r="AG198" s="122"/>
      <c r="AH198" s="122"/>
      <c r="AI198" s="122"/>
      <c r="AJ198" s="122"/>
      <c r="AK198" s="122"/>
      <c r="AL198" s="122"/>
      <c r="AM198" s="122"/>
      <c r="AN198" s="122"/>
      <c r="AO198" s="122"/>
      <c r="AP198" s="122"/>
      <c r="AQ198" s="122"/>
      <c r="AR198" s="122"/>
      <c r="AS198" s="122"/>
      <c r="AT198" s="128"/>
    </row>
    <row r="199" spans="1:46">
      <c r="V199" s="117"/>
      <c r="X199" s="117"/>
      <c r="Y199" s="123"/>
      <c r="Z199" s="123"/>
      <c r="AA199" s="123"/>
      <c r="AB199" s="123"/>
      <c r="AC199" s="123"/>
      <c r="AD199" s="115"/>
      <c r="AE199" s="123"/>
      <c r="AF199" s="115"/>
      <c r="AG199" s="115"/>
      <c r="AH199" s="115"/>
      <c r="AI199" s="115"/>
      <c r="AJ199" s="115"/>
      <c r="AK199" s="115"/>
      <c r="AL199" s="115"/>
      <c r="AM199" s="115"/>
      <c r="AN199" s="115"/>
      <c r="AO199" s="115"/>
      <c r="AP199" s="115"/>
      <c r="AQ199" s="115"/>
      <c r="AR199" s="115"/>
      <c r="AS199" s="115"/>
      <c r="AT199" s="133"/>
    </row>
    <row r="200" spans="1:46">
      <c r="G200" s="123"/>
      <c r="H200" s="124"/>
      <c r="I200" s="124"/>
      <c r="J200" s="125"/>
      <c r="K200" s="125"/>
      <c r="S200" s="123"/>
      <c r="T200" s="124"/>
      <c r="U200" s="124"/>
      <c r="V200" s="123"/>
      <c r="W200" s="125"/>
      <c r="X200" s="117"/>
      <c r="Y200" s="123"/>
      <c r="Z200" s="123"/>
      <c r="AA200" s="123"/>
      <c r="AB200" s="123"/>
      <c r="AC200" s="123"/>
      <c r="AD200" s="115"/>
      <c r="AE200" s="134"/>
      <c r="AF200" s="115"/>
      <c r="AG200" s="115"/>
      <c r="AH200" s="115"/>
      <c r="AI200" s="115"/>
      <c r="AJ200" s="115"/>
      <c r="AK200" s="115"/>
      <c r="AL200" s="115"/>
      <c r="AM200" s="115"/>
      <c r="AN200" s="126" t="s">
        <v>294</v>
      </c>
      <c r="AO200" s="126">
        <v>197</v>
      </c>
      <c r="AP200" s="126"/>
      <c r="AQ200" s="115"/>
      <c r="AR200" s="115"/>
      <c r="AS200" s="115"/>
      <c r="AT200" s="128"/>
    </row>
    <row r="201" spans="1:46">
      <c r="B201" s="14"/>
      <c r="AN201" s="126" t="s">
        <v>295</v>
      </c>
      <c r="AO201" s="127">
        <v>189</v>
      </c>
      <c r="AP201" s="127" t="s">
        <v>296</v>
      </c>
      <c r="AT201" s="128"/>
    </row>
    <row r="202" spans="1:46">
      <c r="B202" s="14"/>
      <c r="AC202" s="124"/>
      <c r="AD202" s="123"/>
      <c r="AE202" s="123"/>
      <c r="AF202" s="123"/>
      <c r="AG202" s="123"/>
      <c r="AH202" s="123"/>
      <c r="AI202" s="115"/>
      <c r="AJ202" s="115"/>
      <c r="AK202" s="115"/>
      <c r="AL202" s="115"/>
      <c r="AM202" s="115"/>
      <c r="AN202" s="127" t="s">
        <v>297</v>
      </c>
      <c r="AO202" s="127">
        <v>9</v>
      </c>
      <c r="AP202" s="127"/>
      <c r="AQ202" s="115"/>
      <c r="AR202" s="115"/>
      <c r="AS202" s="115"/>
      <c r="AT202" s="128"/>
    </row>
    <row r="203" spans="1:46">
      <c r="B203" s="14"/>
      <c r="U203" s="121"/>
      <c r="V203" s="121"/>
      <c r="W203" s="121"/>
      <c r="X203" s="121"/>
      <c r="Y203" s="121"/>
      <c r="AC203" s="121"/>
      <c r="AD203" s="121"/>
      <c r="AE203" s="121"/>
      <c r="AF203" s="121"/>
      <c r="AG203" s="121"/>
      <c r="AH203" s="121"/>
      <c r="AN203" s="127" t="s">
        <v>298</v>
      </c>
      <c r="AO203" s="127">
        <v>8</v>
      </c>
      <c r="AP203" s="127"/>
      <c r="AT203" s="128"/>
    </row>
    <row r="204" spans="1:46">
      <c r="B204" s="14"/>
      <c r="U204" s="121"/>
      <c r="V204" s="125"/>
      <c r="W204" s="124"/>
      <c r="X204" s="123"/>
      <c r="Y204" s="125"/>
      <c r="AT204" s="128"/>
    </row>
    <row r="205" spans="1:46">
      <c r="B205" s="14"/>
      <c r="W205" s="124"/>
      <c r="AT205" s="128"/>
    </row>
    <row r="206" spans="1:46">
      <c r="B206" s="14"/>
      <c r="W206" s="124"/>
      <c r="AT206" s="128"/>
    </row>
    <row r="207" spans="1:46">
      <c r="B207" s="14"/>
      <c r="W207" s="125"/>
      <c r="AT207" s="128"/>
    </row>
    <row r="208" spans="1:46">
      <c r="B208" s="14"/>
      <c r="W208" s="125"/>
      <c r="AT208" s="128"/>
    </row>
    <row r="209" spans="2:46">
      <c r="B209" s="14"/>
      <c r="W209" s="121"/>
      <c r="AT209" s="128"/>
    </row>
    <row r="210" spans="2:46">
      <c r="B210" s="14"/>
      <c r="AT210" s="128"/>
    </row>
    <row r="211" spans="2:46">
      <c r="B211" s="14"/>
      <c r="AT211" s="128"/>
    </row>
    <row r="212" spans="2:46">
      <c r="AT212" s="128"/>
    </row>
    <row r="213" spans="2:46">
      <c r="AT213" s="128"/>
    </row>
    <row r="214" spans="2:46">
      <c r="AT214" s="128"/>
    </row>
    <row r="215" spans="2:46">
      <c r="AT215" s="128"/>
    </row>
    <row r="216" spans="2:46">
      <c r="AT216" s="128"/>
    </row>
    <row r="217" spans="2:46">
      <c r="AT217" s="128"/>
    </row>
    <row r="218" spans="2:46">
      <c r="AT218" s="128"/>
    </row>
    <row r="219" spans="2:46">
      <c r="AT219" s="128"/>
    </row>
    <row r="220" spans="2:46">
      <c r="AT220" s="128"/>
    </row>
    <row r="221" spans="2:46">
      <c r="AT221" s="128"/>
    </row>
    <row r="222" spans="2:46">
      <c r="AT222" s="128"/>
    </row>
    <row r="223" spans="2:46">
      <c r="AT223" s="128"/>
    </row>
    <row r="224" spans="2:46">
      <c r="AT224" s="128"/>
    </row>
    <row r="225" spans="46:46">
      <c r="AT225" s="128"/>
    </row>
    <row r="226" spans="46:46">
      <c r="AT226" s="128"/>
    </row>
    <row r="227" spans="46:46">
      <c r="AT227" s="128"/>
    </row>
    <row r="228" spans="46:46">
      <c r="AT228" s="128"/>
    </row>
    <row r="229" spans="46:46">
      <c r="AT229" s="128"/>
    </row>
    <row r="230" spans="46:46">
      <c r="AT230" s="128"/>
    </row>
    <row r="231" spans="46:46">
      <c r="AT231" s="128"/>
    </row>
    <row r="232" spans="46:46">
      <c r="AT232" s="128"/>
    </row>
    <row r="233" spans="46:46">
      <c r="AT233" s="128"/>
    </row>
    <row r="234" spans="46:46">
      <c r="AT234" s="128"/>
    </row>
    <row r="235" spans="46:46">
      <c r="AT235" s="128"/>
    </row>
    <row r="236" spans="46:46">
      <c r="AT236" s="128"/>
    </row>
    <row r="237" spans="46:46">
      <c r="AT237" s="128"/>
    </row>
    <row r="238" spans="46:46">
      <c r="AT238" s="128"/>
    </row>
    <row r="239" spans="46:46">
      <c r="AT239" s="128"/>
    </row>
    <row r="240" spans="46:46">
      <c r="AT240" s="128"/>
    </row>
    <row r="241" spans="46:46">
      <c r="AT241" s="128"/>
    </row>
    <row r="242" spans="46:46">
      <c r="AT242" s="128"/>
    </row>
    <row r="243" spans="46:46">
      <c r="AT243" s="128"/>
    </row>
    <row r="244" spans="46:46">
      <c r="AT244" s="128"/>
    </row>
    <row r="245" spans="46:46">
      <c r="AT245" s="128"/>
    </row>
    <row r="246" spans="46:46">
      <c r="AT246" s="128"/>
    </row>
    <row r="247" spans="46:46">
      <c r="AT247" s="128"/>
    </row>
    <row r="248" spans="46:46">
      <c r="AT248" s="128"/>
    </row>
  </sheetData>
  <autoFilter xmlns:etc="http://www.wps.cn/officeDocument/2017/etCustomData" ref="A3:AT205" etc:filterBottomFollowUsedRange="0">
    <extLst/>
  </autoFilter>
  <mergeCells count="14">
    <mergeCell ref="A1:AT1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2:C3"/>
  </mergeCells>
  <conditionalFormatting sqref="D2:AH2">
    <cfRule type="expression" dxfId="0" priority="46928">
      <formula>WEEKDAY(D$28,2)&gt;5</formula>
    </cfRule>
  </conditionalFormatting>
  <conditionalFormatting sqref="AG2">
    <cfRule type="expression" priority="154">
      <formula>WEEKDAY(AD$3,2)&gt;5</formula>
    </cfRule>
  </conditionalFormatting>
  <conditionalFormatting sqref="AH2">
    <cfRule type="expression" priority="46938">
      <formula>WEEKDAY(AE$3,2)&gt;5</formula>
    </cfRule>
  </conditionalFormatting>
  <conditionalFormatting sqref="L4">
    <cfRule type="expression" priority="38">
      <formula>WEEKDAY(#REF!,2)&gt;5</formula>
    </cfRule>
  </conditionalFormatting>
  <conditionalFormatting sqref="AF4">
    <cfRule type="expression" priority="37">
      <formula>WEEKDAY(#REF!,2)&gt;5</formula>
    </cfRule>
  </conditionalFormatting>
  <conditionalFormatting sqref="L5">
    <cfRule type="expression" priority="20">
      <formula>WEEKDAY(H$3,2)&gt;5</formula>
    </cfRule>
  </conditionalFormatting>
  <conditionalFormatting sqref="B6">
    <cfRule type="duplicateValues" dxfId="1" priority="6408"/>
  </conditionalFormatting>
  <conditionalFormatting sqref="Y6">
    <cfRule type="expression" priority="14">
      <formula>WEEKDAY(#REF!,2)&gt;5</formula>
    </cfRule>
  </conditionalFormatting>
  <conditionalFormatting sqref="M10:N10">
    <cfRule type="expression" priority="18">
      <formula>WEEKDAY(#REF!,2)&gt;5</formula>
    </cfRule>
  </conditionalFormatting>
  <conditionalFormatting sqref="O10">
    <cfRule type="expression" priority="17">
      <formula>WEEKDAY(M$3,2)&gt;5</formula>
    </cfRule>
  </conditionalFormatting>
  <conditionalFormatting sqref="P10">
    <cfRule type="expression" priority="16">
      <formula>WEEKDAY(#REF!,2)&gt;5</formula>
    </cfRule>
  </conditionalFormatting>
  <conditionalFormatting sqref="M11:R11">
    <cfRule type="expression" priority="4">
      <formula>WEEKDAY(#REF!,2)&gt;5</formula>
    </cfRule>
  </conditionalFormatting>
  <conditionalFormatting sqref="T11">
    <cfRule type="expression" priority="3">
      <formula>WEEKDAY(#REF!,2)&gt;5</formula>
    </cfRule>
  </conditionalFormatting>
  <conditionalFormatting sqref="L12">
    <cfRule type="expression" priority="2">
      <formula>WEEKDAY(#REF!,2)&gt;5</formula>
    </cfRule>
  </conditionalFormatting>
  <conditionalFormatting sqref="M12:AH12">
    <cfRule type="expression" priority="1">
      <formula>WEEKDAY(#REF!,2)&gt;5</formula>
    </cfRule>
  </conditionalFormatting>
  <conditionalFormatting sqref="D13:AC13">
    <cfRule type="expression" priority="13">
      <formula>WEEKDAY(#REF!,2)&gt;5</formula>
    </cfRule>
  </conditionalFormatting>
  <conditionalFormatting sqref="AD13:AH13">
    <cfRule type="expression" priority="12">
      <formula>WEEKDAY(#REF!,2)&gt;5</formula>
    </cfRule>
  </conditionalFormatting>
  <conditionalFormatting sqref="L14:N14">
    <cfRule type="expression" priority="36">
      <formula>WEEKDAY(#REF!,2)&gt;5</formula>
    </cfRule>
  </conditionalFormatting>
  <conditionalFormatting sqref="P14:T14">
    <cfRule type="expression" priority="35">
      <formula>WEEKDAY(#REF!,2)&gt;5</formula>
    </cfRule>
  </conditionalFormatting>
  <conditionalFormatting sqref="W14:AA14">
    <cfRule type="expression" priority="34">
      <formula>WEEKDAY(#REF!,2)&gt;5</formula>
    </cfRule>
  </conditionalFormatting>
  <conditionalFormatting sqref="AD14:AH14">
    <cfRule type="expression" priority="33">
      <formula>WEEKDAY(#REF!,2)&gt;5</formula>
    </cfRule>
  </conditionalFormatting>
  <conditionalFormatting sqref="L16:N16">
    <cfRule type="expression" priority="5">
      <formula>WEEKDAY(#REF!,2)&gt;5</formula>
    </cfRule>
  </conditionalFormatting>
  <conditionalFormatting sqref="P16:R16">
    <cfRule type="expression" priority="29">
      <formula>WEEKDAY(#REF!,2)&gt;5</formula>
    </cfRule>
  </conditionalFormatting>
  <conditionalFormatting sqref="T16">
    <cfRule type="expression" priority="28">
      <formula>WEEKDAY(#REF!,2)&gt;5</formula>
    </cfRule>
  </conditionalFormatting>
  <conditionalFormatting sqref="W16:X16">
    <cfRule type="expression" priority="6">
      <formula>WEEKDAY(#REF!,2)&gt;5</formula>
    </cfRule>
  </conditionalFormatting>
  <conditionalFormatting sqref="AE16">
    <cfRule type="expression" priority="25">
      <formula>WEEKDAY(#REF!,2)&gt;5</formula>
    </cfRule>
  </conditionalFormatting>
  <conditionalFormatting sqref="B18">
    <cfRule type="duplicateValues" dxfId="1" priority="10405"/>
  </conditionalFormatting>
  <conditionalFormatting sqref="P19">
    <cfRule type="expression" priority="40">
      <formula>WEEKDAY(#REF!,2)&gt;5</formula>
    </cfRule>
  </conditionalFormatting>
  <conditionalFormatting sqref="B23">
    <cfRule type="duplicateValues" dxfId="1" priority="4598"/>
  </conditionalFormatting>
  <conditionalFormatting sqref="L25">
    <cfRule type="expression" priority="53">
      <formula>WEEKDAY(#REF!,2)&gt;5</formula>
    </cfRule>
  </conditionalFormatting>
  <conditionalFormatting sqref="M25">
    <cfRule type="expression" priority="52">
      <formula>WEEKDAY(#REF!,2)&gt;5</formula>
    </cfRule>
  </conditionalFormatting>
  <conditionalFormatting sqref="Y29">
    <cfRule type="expression" priority="51">
      <formula>WEEKDAY(U$3,2)&gt;5</formula>
    </cfRule>
  </conditionalFormatting>
  <conditionalFormatting sqref="W30">
    <cfRule type="expression" priority="45">
      <formula>WEEKDAY(#REF!,2)&gt;5</formula>
    </cfRule>
  </conditionalFormatting>
  <conditionalFormatting sqref="AF30">
    <cfRule type="expression" priority="46">
      <formula>WEEKDAY(#REF!,2)&gt;5</formula>
    </cfRule>
  </conditionalFormatting>
  <conditionalFormatting sqref="AH30">
    <cfRule type="expression" priority="47">
      <formula>WEEKDAY(AF$3,2)&gt;5</formula>
    </cfRule>
  </conditionalFormatting>
  <conditionalFormatting sqref="E32:K32">
    <cfRule type="expression" priority="49">
      <formula>WEEKDAY(C$3,2)&gt;5</formula>
    </cfRule>
  </conditionalFormatting>
  <conditionalFormatting sqref="Z32:AH32">
    <cfRule type="expression" priority="48">
      <formula>WEEKDAY(X$3,2)&gt;5</formula>
    </cfRule>
  </conditionalFormatting>
  <conditionalFormatting sqref="B34">
    <cfRule type="duplicateValues" dxfId="1" priority="9718"/>
  </conditionalFormatting>
  <conditionalFormatting sqref="M34">
    <cfRule type="expression" priority="39">
      <formula>WEEKDAY(#REF!,2)&gt;5</formula>
    </cfRule>
  </conditionalFormatting>
  <conditionalFormatting sqref="AA35">
    <cfRule type="expression" priority="15">
      <formula>WEEKDAY(#REF!,2)&gt;5</formula>
    </cfRule>
  </conditionalFormatting>
  <conditionalFormatting sqref="D37">
    <cfRule type="expression" priority="59">
      <formula>WEEKDAY(B$3,2)&gt;5</formula>
    </cfRule>
  </conditionalFormatting>
  <conditionalFormatting sqref="E37">
    <cfRule type="expression" priority="58">
      <formula>WEEKDAY(C$3,2)&gt;5</formula>
    </cfRule>
  </conditionalFormatting>
  <conditionalFormatting sqref="F37">
    <cfRule type="expression" priority="57">
      <formula>WEEKDAY(D$3,2)&gt;5</formula>
    </cfRule>
  </conditionalFormatting>
  <conditionalFormatting sqref="G37:H37">
    <cfRule type="expression" priority="56">
      <formula>WEEKDAY(E$3,2)&gt;5</formula>
    </cfRule>
  </conditionalFormatting>
  <conditionalFormatting sqref="I37">
    <cfRule type="expression" priority="55">
      <formula>WEEKDAY(G$3,2)&gt;5</formula>
    </cfRule>
  </conditionalFormatting>
  <conditionalFormatting sqref="J37">
    <cfRule type="expression" priority="60">
      <formula>WEEKDAY(H$3,2)&gt;5</formula>
    </cfRule>
  </conditionalFormatting>
  <conditionalFormatting sqref="K37">
    <cfRule type="expression" priority="54">
      <formula>WEEKDAY(I$3,2)&gt;5</formula>
    </cfRule>
  </conditionalFormatting>
  <conditionalFormatting sqref="L37">
    <cfRule type="expression" priority="66">
      <formula>WEEKDAY(#REF!,2)&gt;5</formula>
    </cfRule>
  </conditionalFormatting>
  <conditionalFormatting sqref="M37:N37">
    <cfRule type="expression" priority="65">
      <formula>WEEKDAY(#REF!,2)&gt;5</formula>
    </cfRule>
  </conditionalFormatting>
  <conditionalFormatting sqref="P37:T37">
    <cfRule type="expression" priority="64">
      <formula>WEEKDAY(#REF!,2)&gt;5</formula>
    </cfRule>
  </conditionalFormatting>
  <conditionalFormatting sqref="W37:AA37">
    <cfRule type="expression" priority="63">
      <formula>WEEKDAY(#REF!,2)&gt;5</formula>
    </cfRule>
  </conditionalFormatting>
  <conditionalFormatting sqref="AH39">
    <cfRule type="expression" priority="67">
      <formula>WEEKDAY(AD$3,2)&gt;5</formula>
    </cfRule>
  </conditionalFormatting>
  <conditionalFormatting sqref="AD47">
    <cfRule type="expression" priority="146">
      <formula>WEEKDAY(#REF!,2)&gt;5</formula>
    </cfRule>
  </conditionalFormatting>
  <conditionalFormatting sqref="AE47">
    <cfRule type="expression" priority="145">
      <formula>WEEKDAY(#REF!,2)&gt;5</formula>
    </cfRule>
  </conditionalFormatting>
  <conditionalFormatting sqref="AF47:AH47">
    <cfRule type="expression" priority="144">
      <formula>WEEKDAY(#REF!,2)&gt;5</formula>
    </cfRule>
  </conditionalFormatting>
  <conditionalFormatting sqref="B49">
    <cfRule type="duplicateValues" dxfId="1" priority="3843"/>
  </conditionalFormatting>
  <conditionalFormatting sqref="L50">
    <cfRule type="expression" priority="50">
      <formula>WEEKDAY(#REF!,2)&gt;5</formula>
    </cfRule>
  </conditionalFormatting>
  <conditionalFormatting sqref="E51:K51">
    <cfRule type="expression" priority="95">
      <formula>WEEKDAY(C$3,2)&gt;5</formula>
    </cfRule>
  </conditionalFormatting>
  <conditionalFormatting sqref="B52">
    <cfRule type="duplicateValues" dxfId="1" priority="4887"/>
  </conditionalFormatting>
  <conditionalFormatting sqref="B53">
    <cfRule type="duplicateValues" dxfId="1" priority="4806"/>
  </conditionalFormatting>
  <conditionalFormatting sqref="B54">
    <cfRule type="duplicateValues" dxfId="1" priority="9155"/>
  </conditionalFormatting>
  <conditionalFormatting sqref="B55">
    <cfRule type="duplicateValues" dxfId="1" priority="6362"/>
  </conditionalFormatting>
  <conditionalFormatting sqref="B56">
    <cfRule type="duplicateValues" dxfId="1" priority="5242"/>
  </conditionalFormatting>
  <conditionalFormatting sqref="B57">
    <cfRule type="duplicateValues" dxfId="1" priority="4723"/>
  </conditionalFormatting>
  <conditionalFormatting sqref="T60">
    <cfRule type="expression" priority="106">
      <formula>WEEKDAY(P$3,2)&gt;5</formula>
    </cfRule>
  </conditionalFormatting>
  <conditionalFormatting sqref="AG60">
    <cfRule type="expression" priority="105">
      <formula>WEEKDAY(AC$3,2)&gt;5</formula>
    </cfRule>
  </conditionalFormatting>
  <conditionalFormatting sqref="R63">
    <cfRule type="expression" priority="108">
      <formula>WEEKDAY(#REF!,2)&gt;5</formula>
    </cfRule>
  </conditionalFormatting>
  <conditionalFormatting sqref="AG63">
    <cfRule type="expression" priority="107">
      <formula>WEEKDAY(#REF!,2)&gt;5</formula>
    </cfRule>
  </conditionalFormatting>
  <conditionalFormatting sqref="AD65">
    <cfRule type="expression" priority="122">
      <formula>WEEKDAY(Z$3,2)&gt;5</formula>
    </cfRule>
  </conditionalFormatting>
  <conditionalFormatting sqref="B67">
    <cfRule type="duplicateValues" dxfId="1" priority="9037"/>
  </conditionalFormatting>
  <conditionalFormatting sqref="L67">
    <cfRule type="expression" priority="121">
      <formula>WEEKDAY(#REF!,2)&gt;5</formula>
    </cfRule>
  </conditionalFormatting>
  <conditionalFormatting sqref="B70">
    <cfRule type="duplicateValues" dxfId="1" priority="13853"/>
  </conditionalFormatting>
  <conditionalFormatting sqref="L72">
    <cfRule type="expression" priority="118">
      <formula>WEEKDAY(H$3,2)&gt;5</formula>
    </cfRule>
  </conditionalFormatting>
  <conditionalFormatting sqref="N73">
    <cfRule type="expression" priority="117">
      <formula>WEEKDAY(#REF!,2)&gt;5</formula>
    </cfRule>
  </conditionalFormatting>
  <conditionalFormatting sqref="AD73">
    <cfRule type="expression" priority="116">
      <formula>WEEKDAY(#REF!,2)&gt;5</formula>
    </cfRule>
  </conditionalFormatting>
  <conditionalFormatting sqref="B74">
    <cfRule type="duplicateValues" dxfId="1" priority="4924"/>
  </conditionalFormatting>
  <conditionalFormatting sqref="L74">
    <cfRule type="expression" priority="115">
      <formula>WEEKDAY(#REF!,2)&gt;5</formula>
    </cfRule>
  </conditionalFormatting>
  <conditionalFormatting sqref="M74">
    <cfRule type="expression" priority="114">
      <formula>WEEKDAY(#REF!,2)&gt;5</formula>
    </cfRule>
  </conditionalFormatting>
  <conditionalFormatting sqref="AA74">
    <cfRule type="expression" priority="113">
      <formula>WEEKDAY(#REF!,2)&gt;5</formula>
    </cfRule>
  </conditionalFormatting>
  <conditionalFormatting sqref="L76">
    <cfRule type="expression" priority="120">
      <formula>WEEKDAY(#REF!,2)&gt;5</formula>
    </cfRule>
  </conditionalFormatting>
  <conditionalFormatting sqref="M76">
    <cfRule type="expression" priority="119">
      <formula>WEEKDAY(#REF!,2)&gt;5</formula>
    </cfRule>
  </conditionalFormatting>
  <conditionalFormatting sqref="B78">
    <cfRule type="duplicateValues" dxfId="1" priority="5514"/>
  </conditionalFormatting>
  <conditionalFormatting sqref="B79">
    <cfRule type="duplicateValues" dxfId="1" priority="4407"/>
  </conditionalFormatting>
  <conditionalFormatting sqref="L79">
    <cfRule type="expression" priority="112">
      <formula>WEEKDAY(#REF!,2)&gt;5</formula>
    </cfRule>
  </conditionalFormatting>
  <conditionalFormatting sqref="M79">
    <cfRule type="expression" priority="110">
      <formula>WEEKDAY(#REF!,2)&gt;5</formula>
    </cfRule>
  </conditionalFormatting>
  <conditionalFormatting sqref="N79">
    <cfRule type="expression" priority="111">
      <formula>WEEKDAY(#REF!,2)&gt;5</formula>
    </cfRule>
  </conditionalFormatting>
  <conditionalFormatting sqref="P79:R79">
    <cfRule type="expression" priority="109">
      <formula>WEEKDAY(#REF!,2)&gt;5</formula>
    </cfRule>
  </conditionalFormatting>
  <conditionalFormatting sqref="A83">
    <cfRule type="duplicateValues" dxfId="1" priority="9422"/>
  </conditionalFormatting>
  <conditionalFormatting sqref="B83">
    <cfRule type="duplicateValues" dxfId="1" priority="8864"/>
  </conditionalFormatting>
  <conditionalFormatting sqref="L86">
    <cfRule type="expression" priority="127">
      <formula>WEEKDAY(H$3,2)&gt;5</formula>
    </cfRule>
  </conditionalFormatting>
  <conditionalFormatting sqref="M86:N86">
    <cfRule type="expression" priority="124">
      <formula>WEEKDAY(I$3,2)&gt;5</formula>
    </cfRule>
  </conditionalFormatting>
  <conditionalFormatting sqref="Y86">
    <cfRule type="expression" priority="123">
      <formula>WEEKDAY(U$3,2)&gt;5</formula>
    </cfRule>
  </conditionalFormatting>
  <conditionalFormatting sqref="B88">
    <cfRule type="duplicateValues" dxfId="1" priority="13741"/>
  </conditionalFormatting>
  <conditionalFormatting sqref="L90">
    <cfRule type="expression" priority="129">
      <formula>WEEKDAY(#REF!,2)&gt;5</formula>
    </cfRule>
  </conditionalFormatting>
  <conditionalFormatting sqref="R91">
    <cfRule type="expression" priority="128">
      <formula>WEEKDAY(#REF!,2)&gt;5</formula>
    </cfRule>
  </conditionalFormatting>
  <conditionalFormatting sqref="B97">
    <cfRule type="duplicateValues" dxfId="1" priority="9090"/>
  </conditionalFormatting>
  <conditionalFormatting sqref="AH97">
    <cfRule type="expression" priority="102">
      <formula>WEEKDAY(#REF!,2)&gt;5</formula>
    </cfRule>
  </conditionalFormatting>
  <conditionalFormatting sqref="B98">
    <cfRule type="duplicateValues" dxfId="1" priority="9105"/>
  </conditionalFormatting>
  <conditionalFormatting sqref="B99">
    <cfRule type="duplicateValues" dxfId="1" priority="8718"/>
  </conditionalFormatting>
  <conditionalFormatting sqref="L99">
    <cfRule type="expression" priority="104">
      <formula>WEEKDAY(#REF!,2)&gt;5</formula>
    </cfRule>
  </conditionalFormatting>
  <conditionalFormatting sqref="AA99">
    <cfRule type="expression" priority="103">
      <formula>WEEKDAY(#REF!,2)&gt;5</formula>
    </cfRule>
  </conditionalFormatting>
  <conditionalFormatting sqref="T100">
    <cfRule type="expression" priority="97">
      <formula>WEEKDAY(#REF!,2)&gt;5</formula>
    </cfRule>
  </conditionalFormatting>
  <conditionalFormatting sqref="W100">
    <cfRule type="expression" priority="96">
      <formula>WEEKDAY(#REF!,2)&gt;5</formula>
    </cfRule>
  </conditionalFormatting>
  <conditionalFormatting sqref="AD102:AE102">
    <cfRule type="expression" priority="101">
      <formula>WEEKDAY(#REF!,2)&gt;5</formula>
    </cfRule>
  </conditionalFormatting>
  <conditionalFormatting sqref="AE103">
    <cfRule type="expression" priority="98">
      <formula>WEEKDAY(#REF!,2)&gt;5</formula>
    </cfRule>
  </conditionalFormatting>
  <conditionalFormatting sqref="AG105">
    <cfRule type="expression" priority="100">
      <formula>WEEKDAY(#REF!,2)&gt;5</formula>
    </cfRule>
  </conditionalFormatting>
  <conditionalFormatting sqref="AH105">
    <cfRule type="expression" priority="99">
      <formula>WEEKDAY(#REF!,2)&gt;5</formula>
    </cfRule>
  </conditionalFormatting>
  <conditionalFormatting sqref="B107">
    <cfRule type="duplicateValues" dxfId="1" priority="9137"/>
  </conditionalFormatting>
  <conditionalFormatting sqref="B108">
    <cfRule type="duplicateValues" dxfId="1" priority="9769"/>
  </conditionalFormatting>
  <conditionalFormatting sqref="B109">
    <cfRule type="duplicateValues" dxfId="1" priority="6255"/>
  </conditionalFormatting>
  <conditionalFormatting sqref="N110">
    <cfRule type="expression" priority="136">
      <formula>WEEKDAY(#REF!,2)&gt;5</formula>
    </cfRule>
  </conditionalFormatting>
  <conditionalFormatting sqref="Q110">
    <cfRule type="expression" priority="135">
      <formula>WEEKDAY(#REF!,2)&gt;5</formula>
    </cfRule>
  </conditionalFormatting>
  <conditionalFormatting sqref="T110">
    <cfRule type="expression" priority="134">
      <formula>WEEKDAY(#REF!,2)&gt;5</formula>
    </cfRule>
  </conditionalFormatting>
  <conditionalFormatting sqref="W110">
    <cfRule type="expression" priority="133">
      <formula>WEEKDAY(#REF!,2)&gt;5</formula>
    </cfRule>
  </conditionalFormatting>
  <conditionalFormatting sqref="AA110">
    <cfRule type="expression" priority="132">
      <formula>WEEKDAY(#REF!,2)&gt;5</formula>
    </cfRule>
  </conditionalFormatting>
  <conditionalFormatting sqref="AD110">
    <cfRule type="expression" priority="131">
      <formula>WEEKDAY(#REF!,2)&gt;5</formula>
    </cfRule>
  </conditionalFormatting>
  <conditionalFormatting sqref="AF110">
    <cfRule type="expression" priority="130">
      <formula>WEEKDAY(#REF!,2)&gt;5</formula>
    </cfRule>
  </conditionalFormatting>
  <conditionalFormatting sqref="B111">
    <cfRule type="duplicateValues" dxfId="1" priority="10490"/>
  </conditionalFormatting>
  <conditionalFormatting sqref="N111">
    <cfRule type="expression" priority="140">
      <formula>WEEKDAY(#REF!,2)&gt;5</formula>
    </cfRule>
  </conditionalFormatting>
  <conditionalFormatting sqref="Z111">
    <cfRule type="expression" priority="139">
      <formula>WEEKDAY(#REF!,2)&gt;5</formula>
    </cfRule>
  </conditionalFormatting>
  <conditionalFormatting sqref="AE111">
    <cfRule type="expression" priority="138">
      <formula>WEEKDAY(#REF!,2)&gt;5</formula>
    </cfRule>
  </conditionalFormatting>
  <conditionalFormatting sqref="L112:N112">
    <cfRule type="expression" priority="137">
      <formula>WEEKDAY(#REF!,2)&gt;5</formula>
    </cfRule>
  </conditionalFormatting>
  <conditionalFormatting sqref="B113">
    <cfRule type="duplicateValues" dxfId="1" priority="9593"/>
  </conditionalFormatting>
  <conditionalFormatting sqref="Y118">
    <cfRule type="expression" priority="77">
      <formula>WEEKDAY(#REF!,2)&gt;5</formula>
    </cfRule>
  </conditionalFormatting>
  <conditionalFormatting sqref="B119">
    <cfRule type="duplicateValues" dxfId="1" priority="13689"/>
  </conditionalFormatting>
  <conditionalFormatting sqref="B121">
    <cfRule type="duplicateValues" dxfId="1" priority="8966"/>
  </conditionalFormatting>
  <conditionalFormatting sqref="L123">
    <cfRule type="expression" priority="143">
      <formula>WEEKDAY(#REF!,2)&gt;5</formula>
    </cfRule>
  </conditionalFormatting>
  <conditionalFormatting sqref="B124">
    <cfRule type="duplicateValues" dxfId="1" priority="4491"/>
  </conditionalFormatting>
  <conditionalFormatting sqref="B125">
    <cfRule type="duplicateValues" dxfId="1" priority="4088"/>
  </conditionalFormatting>
  <conditionalFormatting sqref="L125">
    <cfRule type="expression" priority="142">
      <formula>WEEKDAY(#REF!,2)&gt;5</formula>
    </cfRule>
  </conditionalFormatting>
  <conditionalFormatting sqref="M125">
    <cfRule type="expression" priority="141">
      <formula>WEEKDAY(#REF!,2)&gt;5</formula>
    </cfRule>
  </conditionalFormatting>
  <conditionalFormatting sqref="B126">
    <cfRule type="duplicateValues" dxfId="1" priority="4456"/>
  </conditionalFormatting>
  <conditionalFormatting sqref="B127">
    <cfRule type="duplicateValues" dxfId="1" priority="9002"/>
  </conditionalFormatting>
  <conditionalFormatting sqref="L129">
    <cfRule type="expression" priority="89">
      <formula>WEEKDAY(#REF!,2)&gt;5</formula>
    </cfRule>
  </conditionalFormatting>
  <conditionalFormatting sqref="B130">
    <cfRule type="duplicateValues" dxfId="1" priority="13628"/>
  </conditionalFormatting>
  <conditionalFormatting sqref="AD130">
    <cfRule type="expression" priority="86">
      <formula>WEEKDAY(#REF!,2)&gt;5</formula>
    </cfRule>
  </conditionalFormatting>
  <conditionalFormatting sqref="AE130">
    <cfRule type="expression" priority="85">
      <formula>WEEKDAY(#REF!,2)&gt;5</formula>
    </cfRule>
  </conditionalFormatting>
  <conditionalFormatting sqref="AG130">
    <cfRule type="expression" priority="8">
      <formula>WEEKDAY(#REF!,2)&gt;5</formula>
    </cfRule>
  </conditionalFormatting>
  <conditionalFormatting sqref="B131">
    <cfRule type="duplicateValues" dxfId="1" priority="9238"/>
  </conditionalFormatting>
  <conditionalFormatting sqref="AD131">
    <cfRule type="expression" priority="88">
      <formula>WEEKDAY(#REF!,2)&gt;5</formula>
    </cfRule>
  </conditionalFormatting>
  <conditionalFormatting sqref="AE131">
    <cfRule type="expression" priority="87">
      <formula>WEEKDAY(#REF!,2)&gt;5</formula>
    </cfRule>
  </conditionalFormatting>
  <conditionalFormatting sqref="B132">
    <cfRule type="duplicateValues" dxfId="1" priority="3988"/>
  </conditionalFormatting>
  <conditionalFormatting sqref="W132">
    <cfRule type="expression" priority="90">
      <formula>WEEKDAY(#REF!,2)&gt;5</formula>
    </cfRule>
  </conditionalFormatting>
  <conditionalFormatting sqref="B133">
    <cfRule type="duplicateValues" dxfId="1" priority="3956"/>
  </conditionalFormatting>
  <conditionalFormatting sqref="B134">
    <cfRule type="duplicateValues" dxfId="1" priority="9540"/>
  </conditionalFormatting>
  <conditionalFormatting sqref="AH134">
    <cfRule type="expression" priority="91">
      <formula>WEEKDAY(#REF!,2)&gt;5</formula>
    </cfRule>
  </conditionalFormatting>
  <conditionalFormatting sqref="B135">
    <cfRule type="duplicateValues" dxfId="1" priority="13613"/>
  </conditionalFormatting>
  <conditionalFormatting sqref="B136">
    <cfRule type="duplicateValues" dxfId="1" priority="6147"/>
  </conditionalFormatting>
  <conditionalFormatting sqref="B137">
    <cfRule type="duplicateValues" dxfId="1" priority="6134"/>
  </conditionalFormatting>
  <conditionalFormatting sqref="P140">
    <cfRule type="expression" priority="92">
      <formula>WEEKDAY(#REF!,2)&gt;5</formula>
    </cfRule>
  </conditionalFormatting>
  <conditionalFormatting sqref="B141">
    <cfRule type="duplicateValues" dxfId="1" priority="9213"/>
  </conditionalFormatting>
  <conditionalFormatting sqref="B142">
    <cfRule type="duplicateValues" dxfId="1" priority="5689"/>
  </conditionalFormatting>
  <conditionalFormatting sqref="AH143">
    <cfRule type="expression" priority="80">
      <formula>WEEKDAY(#REF!,2)&gt;5</formula>
    </cfRule>
  </conditionalFormatting>
  <conditionalFormatting sqref="B144">
    <cfRule type="duplicateValues" dxfId="1" priority="13598"/>
  </conditionalFormatting>
  <conditionalFormatting sqref="P144">
    <cfRule type="expression" priority="81">
      <formula>WEEKDAY(#REF!,2)&gt;5</formula>
    </cfRule>
  </conditionalFormatting>
  <conditionalFormatting sqref="B146">
    <cfRule type="duplicateValues" dxfId="1" priority="13650"/>
  </conditionalFormatting>
  <conditionalFormatting sqref="B147">
    <cfRule type="duplicateValues" dxfId="1" priority="9333"/>
  </conditionalFormatting>
  <conditionalFormatting sqref="P147">
    <cfRule type="expression" priority="79">
      <formula>WEEKDAY(#REF!,2)&gt;5</formula>
    </cfRule>
  </conditionalFormatting>
  <conditionalFormatting sqref="AE148">
    <cfRule type="expression" priority="82">
      <formula>WEEKDAY(AA$3,2)&gt;5</formula>
    </cfRule>
  </conditionalFormatting>
  <conditionalFormatting sqref="B149">
    <cfRule type="duplicateValues" dxfId="1" priority="5630"/>
  </conditionalFormatting>
  <conditionalFormatting sqref="T149">
    <cfRule type="expression" priority="83">
      <formula>WEEKDAY(P$3,2)&gt;5</formula>
    </cfRule>
  </conditionalFormatting>
  <conditionalFormatting sqref="T152">
    <cfRule type="expression" priority="78">
      <formula>WEEKDAY(#REF!,2)&gt;5</formula>
    </cfRule>
  </conditionalFormatting>
  <conditionalFormatting sqref="E153:Y153">
    <cfRule type="expression" priority="93">
      <formula>WEEKDAY(C$3,2)&gt;5</formula>
    </cfRule>
  </conditionalFormatting>
  <conditionalFormatting sqref="B154">
    <cfRule type="duplicateValues" dxfId="1" priority="5725"/>
  </conditionalFormatting>
  <conditionalFormatting sqref="AD154">
    <cfRule type="expression" priority="94">
      <formula>WEEKDAY(#REF!,2)&gt;5</formula>
    </cfRule>
  </conditionalFormatting>
  <conditionalFormatting sqref="B155">
    <cfRule type="duplicateValues" dxfId="1" priority="9271"/>
  </conditionalFormatting>
  <conditionalFormatting sqref="B156">
    <cfRule type="duplicateValues" dxfId="1" priority="13967"/>
  </conditionalFormatting>
  <conditionalFormatting sqref="L158">
    <cfRule type="expression" priority="70">
      <formula>WEEKDAY(H$3,2)&gt;5</formula>
    </cfRule>
  </conditionalFormatting>
  <conditionalFormatting sqref="Y158">
    <cfRule type="expression" priority="69">
      <formula>WEEKDAY(#REF!,2)&gt;5</formula>
    </cfRule>
  </conditionalFormatting>
  <conditionalFormatting sqref="AE158">
    <cfRule type="expression" priority="44">
      <formula>WEEKDAY(#REF!,2)&gt;5</formula>
    </cfRule>
  </conditionalFormatting>
  <conditionalFormatting sqref="AG158">
    <cfRule type="expression" priority="43">
      <formula>WEEKDAY(#REF!,2)&gt;5</formula>
    </cfRule>
  </conditionalFormatting>
  <conditionalFormatting sqref="AH158">
    <cfRule type="expression" priority="41">
      <formula>WEEKDAY(#REF!,2)&gt;5</formula>
    </cfRule>
  </conditionalFormatting>
  <conditionalFormatting sqref="B159">
    <cfRule type="duplicateValues" dxfId="1" priority="14006"/>
  </conditionalFormatting>
  <conditionalFormatting sqref="B160">
    <cfRule type="duplicateValues" dxfId="1" priority="361"/>
  </conditionalFormatting>
  <conditionalFormatting sqref="B161">
    <cfRule type="duplicateValues" dxfId="1" priority="5575"/>
  </conditionalFormatting>
  <conditionalFormatting sqref="AE164">
    <cfRule type="expression" priority="73">
      <formula>WEEKDAY(#REF!,2)&gt;5</formula>
    </cfRule>
  </conditionalFormatting>
  <conditionalFormatting sqref="B166">
    <cfRule type="duplicateValues" dxfId="1" priority="9816"/>
  </conditionalFormatting>
  <conditionalFormatting sqref="P166">
    <cfRule type="expression" priority="76">
      <formula>WEEKDAY(#REF!,2)&gt;5</formula>
    </cfRule>
  </conditionalFormatting>
  <conditionalFormatting sqref="W166">
    <cfRule type="expression" priority="75">
      <formula>WEEKDAY(#REF!,2)&gt;5</formula>
    </cfRule>
  </conditionalFormatting>
  <conditionalFormatting sqref="E169:Z169">
    <cfRule type="expression" priority="74">
      <formula>WEEKDAY(C$3,2)&gt;5</formula>
    </cfRule>
  </conditionalFormatting>
  <conditionalFormatting sqref="B171">
    <cfRule type="duplicateValues" dxfId="1" priority="13947"/>
  </conditionalFormatting>
  <conditionalFormatting sqref="B173">
    <cfRule type="duplicateValues" dxfId="1" priority="205"/>
  </conditionalFormatting>
  <conditionalFormatting sqref="L175">
    <cfRule type="expression" priority="11">
      <formula>WEEKDAY(H$3,2)&gt;5</formula>
    </cfRule>
  </conditionalFormatting>
  <conditionalFormatting sqref="AD175">
    <cfRule type="expression" priority="10">
      <formula>WEEKDAY(Z$3,2)&gt;5</formula>
    </cfRule>
  </conditionalFormatting>
  <conditionalFormatting sqref="AF176">
    <cfRule type="expression" priority="147">
      <formula>WEEKDAY(#REF!,2)&gt;5</formula>
    </cfRule>
  </conditionalFormatting>
  <conditionalFormatting sqref="B178">
    <cfRule type="duplicateValues" dxfId="1" priority="13568"/>
  </conditionalFormatting>
  <conditionalFormatting sqref="B179">
    <cfRule type="duplicateValues" dxfId="1" priority="8569"/>
  </conditionalFormatting>
  <conditionalFormatting sqref="B182">
    <cfRule type="duplicateValues" dxfId="1" priority="373"/>
  </conditionalFormatting>
  <conditionalFormatting sqref="P183">
    <cfRule type="expression" priority="72">
      <formula>WEEKDAY(L$3,2)&gt;5</formula>
    </cfRule>
  </conditionalFormatting>
  <conditionalFormatting sqref="S183">
    <cfRule type="expression" priority="71">
      <formula>WEEKDAY(O$3,2)&gt;5</formula>
    </cfRule>
  </conditionalFormatting>
  <conditionalFormatting sqref="D193">
    <cfRule type="expression" priority="8101">
      <formula>WEEKDAY(#REF!,2)&gt;5</formula>
    </cfRule>
  </conditionalFormatting>
  <conditionalFormatting sqref="E193">
    <cfRule type="expression" priority="8103">
      <formula>WEEKDAY(C$3,2)&gt;5</formula>
    </cfRule>
  </conditionalFormatting>
  <conditionalFormatting sqref="F193">
    <cfRule type="expression" priority="8102">
      <formula>WEEKDAY(#REF!,2)&gt;5</formula>
    </cfRule>
  </conditionalFormatting>
  <conditionalFormatting sqref="G193:J193">
    <cfRule type="expression" priority="8100">
      <formula>WEEKDAY(#REF!,2)&gt;5</formula>
    </cfRule>
  </conditionalFormatting>
  <conditionalFormatting sqref="K193:O193">
    <cfRule type="expression" priority="8290">
      <formula>WEEKDAY(#REF!,2)&gt;5</formula>
    </cfRule>
  </conditionalFormatting>
  <conditionalFormatting sqref="L193:M193">
    <cfRule type="expression" priority="8099">
      <formula>WEEKDAY(J$3,2)&gt;5</formula>
    </cfRule>
  </conditionalFormatting>
  <conditionalFormatting sqref="P193:Q193">
    <cfRule type="expression" priority="8870">
      <formula>WEEKDAY(#REF!,2)&gt;5</formula>
    </cfRule>
  </conditionalFormatting>
  <conditionalFormatting sqref="P193">
    <cfRule type="expression" priority="8095">
      <formula>WEEKDAY(#REF!,2)&gt;5</formula>
    </cfRule>
  </conditionalFormatting>
  <conditionalFormatting sqref="R193:T193">
    <cfRule type="expression" priority="8285">
      <formula>WEEKDAY(#REF!,2)&gt;5</formula>
    </cfRule>
  </conditionalFormatting>
  <conditionalFormatting sqref="S193:T193">
    <cfRule type="expression" priority="8098">
      <formula>WEEKDAY(Q$3,2)&gt;5</formula>
    </cfRule>
  </conditionalFormatting>
  <conditionalFormatting sqref="U193">
    <cfRule type="expression" priority="8580">
      <formula>WEEKDAY(#REF!,2)&gt;5</formula>
    </cfRule>
  </conditionalFormatting>
  <conditionalFormatting sqref="V193:W193">
    <cfRule type="expression" priority="8094">
      <formula>WEEKDAY(#REF!,2)&gt;5</formula>
    </cfRule>
  </conditionalFormatting>
  <conditionalFormatting sqref="X193">
    <cfRule type="expression" priority="8284">
      <formula>WEEKDAY(#REF!,2)&gt;5</formula>
    </cfRule>
  </conditionalFormatting>
  <conditionalFormatting sqref="Y193:Z193">
    <cfRule type="expression" priority="9426">
      <formula>WEEKDAY(#REF!,2)&gt;5</formula>
    </cfRule>
  </conditionalFormatting>
  <conditionalFormatting sqref="Z193:AA193">
    <cfRule type="expression" priority="8097">
      <formula>WEEKDAY(X$3,2)&gt;5</formula>
    </cfRule>
  </conditionalFormatting>
  <conditionalFormatting sqref="AA193:AB193">
    <cfRule type="expression" priority="8579">
      <formula>WEEKDAY(#REF!,2)&gt;5</formula>
    </cfRule>
  </conditionalFormatting>
  <conditionalFormatting sqref="AC193">
    <cfRule type="expression" priority="9847">
      <formula>WEEKDAY(#REF!,2)&gt;5</formula>
    </cfRule>
  </conditionalFormatting>
  <conditionalFormatting sqref="AD193">
    <cfRule type="expression" priority="5950">
      <formula>WEEKDAY(#REF!,2)&gt;5</formula>
    </cfRule>
  </conditionalFormatting>
  <conditionalFormatting sqref="AE193">
    <cfRule type="expression" priority="6005">
      <formula>WEEKDAY(#REF!,2)&gt;5</formula>
    </cfRule>
  </conditionalFormatting>
  <conditionalFormatting sqref="AF193:AG193">
    <cfRule type="expression" priority="6053">
      <formula>WEEKDAY(#REF!,2)&gt;5</formula>
    </cfRule>
  </conditionalFormatting>
  <conditionalFormatting sqref="AH193">
    <cfRule type="expression" priority="4218">
      <formula>WEEKDAY(#REF!,2)&gt;5</formula>
    </cfRule>
  </conditionalFormatting>
  <conditionalFormatting sqref="AD195">
    <cfRule type="expression" priority="5954">
      <formula>WEEKDAY(#REF!,2)&gt;5</formula>
    </cfRule>
  </conditionalFormatting>
  <conditionalFormatting sqref="AE195">
    <cfRule type="expression" priority="6004">
      <formula>WEEKDAY(#REF!,2)&gt;5</formula>
    </cfRule>
  </conditionalFormatting>
  <conditionalFormatting sqref="AF195:AG195">
    <cfRule type="expression" priority="6057">
      <formula>WEEKDAY(#REF!,2)&gt;5</formula>
    </cfRule>
  </conditionalFormatting>
  <conditionalFormatting sqref="AH195:AS195">
    <cfRule type="expression" priority="4222">
      <formula>WEEKDAY(#REF!,2)&gt;5</formula>
    </cfRule>
  </conditionalFormatting>
  <conditionalFormatting sqref="K198">
    <cfRule type="expression" priority="191">
      <formula>WEEKDAY(#REF!,2)&gt;5</formula>
    </cfRule>
  </conditionalFormatting>
  <conditionalFormatting sqref="L198">
    <cfRule type="expression" priority="190">
      <formula>WEEKDAY(H$3,2)&gt;5</formula>
    </cfRule>
  </conditionalFormatting>
  <conditionalFormatting sqref="M198">
    <cfRule type="expression" priority="186">
      <formula>WEEKDAY(#REF!,2)&gt;5</formula>
    </cfRule>
  </conditionalFormatting>
  <conditionalFormatting sqref="V199">
    <cfRule type="expression" priority="4644">
      <formula>WEEKDAY(R$3,2)&gt;5</formula>
    </cfRule>
  </conditionalFormatting>
  <conditionalFormatting sqref="X199">
    <cfRule type="expression" priority="3904">
      <formula>WEEKDAY(T$3,2)&gt;5</formula>
    </cfRule>
  </conditionalFormatting>
  <conditionalFormatting sqref="Y199">
    <cfRule type="expression" priority="3903">
      <formula>WEEKDAY(#REF!,2)&gt;5</formula>
    </cfRule>
  </conditionalFormatting>
  <conditionalFormatting sqref="Z199">
    <cfRule type="expression" priority="3902">
      <formula>WEEKDAY(#REF!,2)&gt;5</formula>
    </cfRule>
  </conditionalFormatting>
  <conditionalFormatting sqref="AA199">
    <cfRule type="expression" priority="3901">
      <formula>WEEKDAY(#REF!,2)&gt;5</formula>
    </cfRule>
  </conditionalFormatting>
  <conditionalFormatting sqref="AB199">
    <cfRule type="expression" priority="5476">
      <formula>WEEKDAY(#REF!,2)&gt;5</formula>
    </cfRule>
  </conditionalFormatting>
  <conditionalFormatting sqref="AC199">
    <cfRule type="expression" priority="8299">
      <formula>WEEKDAY(#REF!,2)&gt;5</formula>
    </cfRule>
  </conditionalFormatting>
  <conditionalFormatting sqref="AD199">
    <cfRule type="expression" priority="5953">
      <formula>WEEKDAY(#REF!,2)&gt;5</formula>
    </cfRule>
  </conditionalFormatting>
  <conditionalFormatting sqref="AE199">
    <cfRule type="expression" priority="6002">
      <formula>WEEKDAY(#REF!,2)&gt;5</formula>
    </cfRule>
  </conditionalFormatting>
  <conditionalFormatting sqref="AF199:AG199">
    <cfRule type="expression" priority="6056">
      <formula>WEEKDAY(#REF!,2)&gt;5</formula>
    </cfRule>
  </conditionalFormatting>
  <conditionalFormatting sqref="AH199:AS199">
    <cfRule type="expression" priority="4221">
      <formula>WEEKDAY(#REF!,2)&gt;5</formula>
    </cfRule>
  </conditionalFormatting>
  <conditionalFormatting sqref="G200">
    <cfRule type="expression" priority="17852">
      <formula>WEEKDAY(#REF!,2)&gt;5</formula>
    </cfRule>
  </conditionalFormatting>
  <conditionalFormatting sqref="H200">
    <cfRule type="expression" priority="17851">
      <formula>WEEKDAY(D$3,2)&gt;5</formula>
    </cfRule>
  </conditionalFormatting>
  <conditionalFormatting sqref="I200">
    <cfRule type="expression" priority="17850">
      <formula>WEEKDAY(G$3,2)&gt;5</formula>
    </cfRule>
  </conditionalFormatting>
  <conditionalFormatting sqref="J200">
    <cfRule type="duplicateValues" dxfId="2" priority="17849"/>
  </conditionalFormatting>
  <conditionalFormatting sqref="K200">
    <cfRule type="duplicateValues" dxfId="2" priority="17848"/>
  </conditionalFormatting>
  <conditionalFormatting sqref="S200">
    <cfRule type="expression" priority="20395">
      <formula>WEEKDAY(#REF!,2)&gt;5</formula>
    </cfRule>
  </conditionalFormatting>
  <conditionalFormatting sqref="T200">
    <cfRule type="expression" priority="20394">
      <formula>WEEKDAY(R$3,2)&gt;5</formula>
    </cfRule>
  </conditionalFormatting>
  <conditionalFormatting sqref="U200">
    <cfRule type="expression" priority="20393">
      <formula>WEEKDAY(S$3,2)&gt;5</formula>
    </cfRule>
  </conditionalFormatting>
  <conditionalFormatting sqref="V200">
    <cfRule type="expression" priority="4645">
      <formula>WEEKDAY(#REF!,2)&gt;5</formula>
    </cfRule>
  </conditionalFormatting>
  <conditionalFormatting sqref="W200">
    <cfRule type="duplicateValues" dxfId="2" priority="20391"/>
  </conditionalFormatting>
  <conditionalFormatting sqref="X200">
    <cfRule type="expression" priority="6602">
      <formula>WEEKDAY(T$3,2)&gt;5</formula>
    </cfRule>
  </conditionalFormatting>
  <conditionalFormatting sqref="Y200">
    <cfRule type="expression" priority="6601">
      <formula>WEEKDAY(#REF!,2)&gt;5</formula>
    </cfRule>
  </conditionalFormatting>
  <conditionalFormatting sqref="Z200">
    <cfRule type="expression" priority="6600">
      <formula>WEEKDAY(#REF!,2)&gt;5</formula>
    </cfRule>
  </conditionalFormatting>
  <conditionalFormatting sqref="AA200">
    <cfRule type="expression" priority="6599">
      <formula>WEEKDAY(#REF!,2)&gt;5</formula>
    </cfRule>
  </conditionalFormatting>
  <conditionalFormatting sqref="AB200">
    <cfRule type="expression" priority="7645">
      <formula>WEEKDAY(#REF!,2)&gt;5</formula>
    </cfRule>
  </conditionalFormatting>
  <conditionalFormatting sqref="AC200">
    <cfRule type="expression" priority="7644">
      <formula>WEEKDAY(#REF!,2)&gt;5</formula>
    </cfRule>
  </conditionalFormatting>
  <conditionalFormatting sqref="AD200">
    <cfRule type="expression" priority="5952">
      <formula>WEEKDAY(#REF!,2)&gt;5</formula>
    </cfRule>
  </conditionalFormatting>
  <conditionalFormatting sqref="AE200">
    <cfRule type="expression" priority="6000">
      <formula>WEEKDAY(#REF!,2)&gt;5</formula>
    </cfRule>
  </conditionalFormatting>
  <conditionalFormatting sqref="AF200:AG200">
    <cfRule type="expression" priority="6055">
      <formula>WEEKDAY(#REF!,2)&gt;5</formula>
    </cfRule>
  </conditionalFormatting>
  <conditionalFormatting sqref="AC202">
    <cfRule type="expression" priority="10251">
      <formula>WEEKDAY(AA$3,2)&gt;5</formula>
    </cfRule>
  </conditionalFormatting>
  <conditionalFormatting sqref="AD202">
    <cfRule type="expression" priority="5956">
      <formula>WEEKDAY(#REF!,2)&gt;5</formula>
    </cfRule>
  </conditionalFormatting>
  <conditionalFormatting sqref="AE202">
    <cfRule type="expression" priority="6006">
      <formula>WEEKDAY(#REF!,2)&gt;5</formula>
    </cfRule>
  </conditionalFormatting>
  <conditionalFormatting sqref="AF202:AG202">
    <cfRule type="expression" priority="6059">
      <formula>WEEKDAY(#REF!,2)&gt;5</formula>
    </cfRule>
  </conditionalFormatting>
  <conditionalFormatting sqref="V204">
    <cfRule type="duplicateValues" dxfId="2" priority="22049"/>
  </conditionalFormatting>
  <conditionalFormatting sqref="W204">
    <cfRule type="expression" priority="22048">
      <formula>WEEKDAY(U$3,2)&gt;5</formula>
    </cfRule>
  </conditionalFormatting>
  <conditionalFormatting sqref="X204">
    <cfRule type="expression" priority="22047">
      <formula>WEEKDAY(#REF!,2)&gt;5</formula>
    </cfRule>
  </conditionalFormatting>
  <conditionalFormatting sqref="Y204">
    <cfRule type="duplicateValues" dxfId="2" priority="22046"/>
  </conditionalFormatting>
  <conditionalFormatting sqref="W205">
    <cfRule type="expression" priority="22426">
      <formula>WEEKDAY(S$3,2)&gt;5</formula>
    </cfRule>
  </conditionalFormatting>
  <conditionalFormatting sqref="W206">
    <cfRule type="expression" priority="22425">
      <formula>WEEKDAY(U$3,2)&gt;5</formula>
    </cfRule>
  </conditionalFormatting>
  <conditionalFormatting sqref="W207">
    <cfRule type="duplicateValues" dxfId="2" priority="22424"/>
  </conditionalFormatting>
  <conditionalFormatting sqref="W208">
    <cfRule type="duplicateValues" dxfId="2" priority="22423"/>
  </conditionalFormatting>
  <conditionalFormatting sqref="B30:B32">
    <cfRule type="duplicateValues" dxfId="1" priority="8943"/>
  </conditionalFormatting>
  <conditionalFormatting sqref="B39:B41">
    <cfRule type="duplicateValues" dxfId="1" priority="6493"/>
  </conditionalFormatting>
  <conditionalFormatting sqref="B50:B51">
    <cfRule type="duplicateValues" dxfId="1" priority="6221"/>
  </conditionalFormatting>
  <conditionalFormatting sqref="B151:B153">
    <cfRule type="duplicateValues" dxfId="1" priority="5588"/>
  </conditionalFormatting>
  <conditionalFormatting sqref="AD196:AD198">
    <cfRule type="expression" priority="5958">
      <formula>WEEKDAY(#REF!,2)&gt;5</formula>
    </cfRule>
  </conditionalFormatting>
  <conditionalFormatting sqref="AE196:AE198">
    <cfRule type="expression" priority="6003">
      <formula>WEEKDAY(#REF!,2)&gt;5</formula>
    </cfRule>
  </conditionalFormatting>
  <conditionalFormatting sqref="B1:B5 B7:B22 B24:B38 B174:B181 B183:B1048576 B162:B172 B155:B159 B80:B108 B58:B73 B54 B110:B123 B127:B131 B134:B135 B138:B141 B143:B144 B146:B148 B150 B75:B77 B42:B49">
    <cfRule type="duplicateValues" dxfId="1" priority="6607"/>
  </conditionalFormatting>
  <conditionalFormatting sqref="B2:B5 B7:B17 B19:B22 B24:B29 B35:B38 B180:B181 B174 B183:B1048576 B170 B176:B177 B162:B165 B167 B157:B158 B100:B106 B120 B84:B87 B89:B96 B58:B66 B75:B77 B71:B73 B128:B129 B138 B140 B148 B150 B68:B69 B112 B110 B80:B82 B114:B118 B122:B123 B42:B47">
    <cfRule type="duplicateValues" dxfId="1" priority="14144"/>
  </conditionalFormatting>
  <conditionalFormatting sqref="U201:W203 D2:AF2 R197:AC198 L200:N200 W209:W1048576 U205:V1048576 K201:T1048576 X205:AC1048576 Z204:AC204 U204 G194:G199 D194:E1048576 G201:G1048576 O194:AC196 O197:Q200 R199:U199 W199 X203:AC203 R200 X202:AB202 X201:AC201 K194:N197 N198 K199:N199">
    <cfRule type="expression" priority="46927">
      <formula>WEEKDAY(B$3,2)&gt;5</formula>
    </cfRule>
  </conditionalFormatting>
  <conditionalFormatting sqref="D3:AH3 AS2 AI2:AQ2 F194:F1048576">
    <cfRule type="expression" priority="46935">
      <formula>WEEKDAY(#REF!,2)&gt;5</formula>
    </cfRule>
  </conditionalFormatting>
  <conditionalFormatting sqref="D4:D9 D14:D36 D38:D192">
    <cfRule type="expression" priority="161">
      <formula>WEEKDAY(B$3,2)&gt;5</formula>
    </cfRule>
  </conditionalFormatting>
  <conditionalFormatting sqref="E4:E9 E14:E31 E33:E36 E38:E50 E52:E152 E154:E168 E170:E192">
    <cfRule type="expression" priority="160">
      <formula>WEEKDAY(C$3,2)&gt;5</formula>
    </cfRule>
  </conditionalFormatting>
  <conditionalFormatting sqref="F4:F9 F14:F31 F33:F36 F38:F50 F52:F152 F154:F168 F170:F192">
    <cfRule type="expression" priority="159">
      <formula>WEEKDAY(D$3,2)&gt;5</formula>
    </cfRule>
  </conditionalFormatting>
  <conditionalFormatting sqref="G4:H9 G14:H31 G33:H36 G38:H50 G52:H152 G154:H168 G170:H192">
    <cfRule type="expression" priority="158">
      <formula>WEEKDAY(E$3,2)&gt;5</formula>
    </cfRule>
  </conditionalFormatting>
  <conditionalFormatting sqref="I4:I9 I14:I31 I33:I36 I38:I50 I52:I152 I154:I168 I170:I192">
    <cfRule type="expression" priority="157">
      <formula>WEEKDAY(G$3,2)&gt;5</formula>
    </cfRule>
  </conditionalFormatting>
  <conditionalFormatting sqref="J4:J9 J14:J31 J33:J36 J38:J50 J52:J152 J154:J168 J170:J192">
    <cfRule type="expression" priority="3523">
      <formula>WEEKDAY(H$3,2)&gt;5</formula>
    </cfRule>
  </conditionalFormatting>
  <conditionalFormatting sqref="K4:K9 K14:K31 K33:K36 K38:K50 K52:K152 K154:K168 K170:K192">
    <cfRule type="expression" priority="156">
      <formula>WEEKDAY(I$3,2)&gt;5</formula>
    </cfRule>
  </conditionalFormatting>
  <conditionalFormatting sqref="M4:N5 L6:N7 L8:L9 L15:N15 L17:N24 N25 L26:N33 L34 N34 L35:N36 M72:N72 L73:M73 N74 L75:N75 N76 L77:N78 L80:N85 L87:N89 M90:N90 L91:N98 M99:N99 L100:N109 L110:M111 L113:N122 M123:N123 L124:N124 N125 M67:N67 L68:N71 L176:N192 M175:N175 L170:N174 L159:N168 M158:N158 L154:N157 L130:N152 M129:N129 L126:N128 L51:N66 M50:N50 L38:N49">
    <cfRule type="expression" priority="3522">
      <formula>WEEKDAY(#REF!,2)&gt;5</formula>
    </cfRule>
  </conditionalFormatting>
  <conditionalFormatting sqref="O4:O7 O14:O152 O154:O168 O170:O192">
    <cfRule type="expression" priority="153">
      <formula>WEEKDAY(M$3,2)&gt;5</formula>
    </cfRule>
  </conditionalFormatting>
  <conditionalFormatting sqref="P4:T7 P15:T15 S16 P17:T18 Q19:T19 P20:T36 P63:Q63 S63:T63 P64:T78 S79:T79 P80:T90 P91:Q91 S91:T91 P92:T99 P100:S100 P101:T109 P110 R110:S110 P60:S60 P61:T62 P184:T192 T183 Q183:R183 P170:T182 P167:T168 Q166:T166 P154:T165 P152:S152 P150:T151 P149:S149 P148:T148 Q147:T147 P145:T146 Q144:T144 P141:T143 Q140:T140 P111:T139 P38:T59">
    <cfRule type="expression" priority="152">
      <formula>WEEKDAY(#REF!,2)&gt;5</formula>
    </cfRule>
  </conditionalFormatting>
  <conditionalFormatting sqref="U4:V7 U14:V152 U154:V168 U170:V192">
    <cfRule type="expression" priority="151">
      <formula>WEEKDAY(S$3,2)&gt;5</formula>
    </cfRule>
  </conditionalFormatting>
  <conditionalFormatting sqref="W4:AA5 W6:X6 Z6:AA6 W7:AA7 W15:AA15 Y16:AA16 W17:AA28 W29:X29 Z29:AA29 X30:AA30 W31:AA31 W32:Y32 W33:AA34 W35:Z35 W36:AA36 W86:X86 Z86:AA86 W87:AA98 W99:Z99 X100:AA100 W101:AA109 X110:Z110 W111:Y111 AA111 W74:Z74 W75:AA85 W170:AA192 AA169 W167:AA168 X166:AA166 W159:AA165 Z158:AA158 W158:X158 W154:AA157 Z153:AA153 W133:AA152 X132:AA132 W119:AA131 Z118:AA118 W118:X118 W112:AA117 W38:AA73">
    <cfRule type="expression" priority="150">
      <formula>WEEKDAY(#REF!,2)&gt;5</formula>
    </cfRule>
  </conditionalFormatting>
  <conditionalFormatting sqref="AB4:AC7 AB14:AC31 AB33:AC192">
    <cfRule type="expression" priority="149">
      <formula>WEEKDAY(Z$3,2)&gt;5</formula>
    </cfRule>
  </conditionalFormatting>
  <conditionalFormatting sqref="AD4:AE4 AG4:AL4 AI5:AJ30 AM4:AS193 AD5:AH7 AI32:AJ32 AD31:AJ31 AI47:AJ134 AD33:AJ36 AD176:AE176 AG176:AH176 AD177:AH192 AE154:AH154 AE175:AH175 AD165:AH174 AF164:AH164 AD164 AD159:AH163 AF158 AD158 AD155:AH157 AD64:AH64 AE65:AH65 AD66:AH72 AE73:AH73 AD74:AH96 AD97:AG97 AD98:AH101 AF102:AH103 AD103 AD104:AH104 AD105:AF105 AD106:AH109 AE110 AG110:AH110 AD111 AF111:AH111 AH63 AD63:AF63 AD149:AH153 AF148:AH148 AD148 AD144:AH147 AD143:AG143 AD135:AJ142 AD134:AG134 AD132:AH133 AF131:AH131 AH130 AF130 AD112:AH129 AD61:AH62 AH60 AD60:AF60 AD48:AH59 AD40:AJ46 AD39:AG39 AI39:AJ39 AG30 AD30:AE30 AI193:AL193 AI143:AJ192 AI37:AJ37 AE38:AJ38 AD17:AH29 AF16:AH16 AD16 AD15:AH15">
    <cfRule type="expression" priority="148">
      <formula>WEEKDAY(#REF!,2)&gt;5</formula>
    </cfRule>
  </conditionalFormatting>
  <conditionalFormatting sqref="AK5:AL192">
    <cfRule type="expression" priority="9">
      <formula>WEEKDAY(#REF!,2)&gt;5</formula>
    </cfRule>
  </conditionalFormatting>
  <conditionalFormatting sqref="M8:AH9 Q10:AH10 S11 U11:AH11">
    <cfRule type="expression" priority="26">
      <formula>WEEKDAY(#REF!,2)&gt;5</formula>
    </cfRule>
  </conditionalFormatting>
  <conditionalFormatting sqref="D10:L11 D12:K12">
    <cfRule type="expression" priority="19">
      <formula>WEEKDAY(#REF!,2)&gt;5</formula>
    </cfRule>
  </conditionalFormatting>
  <conditionalFormatting sqref="B33 B48">
    <cfRule type="duplicateValues" dxfId="1" priority="14043"/>
  </conditionalFormatting>
  <conditionalFormatting sqref="AD37:AH37 AD38">
    <cfRule type="expression" priority="62">
      <formula>WEEKDAY(#REF!,2)&gt;5</formula>
    </cfRule>
  </conditionalFormatting>
  <conditionalFormatting sqref="B139 B143">
    <cfRule type="duplicateValues" dxfId="1" priority="10534"/>
  </conditionalFormatting>
  <conditionalFormatting sqref="B168:B169 B175 B172">
    <cfRule type="duplicateValues" dxfId="1" priority="10158"/>
  </conditionalFormatting>
  <conditionalFormatting sqref="H194:H199 H201 H205:H1048576">
    <cfRule type="expression" priority="46934">
      <formula>WEEKDAY(D$3,2)&gt;5</formula>
    </cfRule>
  </conditionalFormatting>
  <conditionalFormatting sqref="AD194 AD203:AD1048576 AD201">
    <cfRule type="expression" priority="5959">
      <formula>WEEKDAY(W$3,2)&gt;5</formula>
    </cfRule>
  </conditionalFormatting>
  <conditionalFormatting sqref="AE194 AE203:AE1048576 AE201">
    <cfRule type="expression" priority="6007">
      <formula>WEEKDAY(Y$3,2)&gt;5</formula>
    </cfRule>
  </conditionalFormatting>
  <conditionalFormatting sqref="AF194:AG194 AF203:AG1048576 AF201:AG201">
    <cfRule type="expression" priority="6062">
      <formula>WEEKDAY(Y$3,2)&gt;5</formula>
    </cfRule>
  </conditionalFormatting>
  <conditionalFormatting sqref="AH194:AL194 AH201:AL201 AH203:AL1048576">
    <cfRule type="expression" priority="4226">
      <formula>WEEKDAY(Z$3,2)&gt;5</formula>
    </cfRule>
  </conditionalFormatting>
  <conditionalFormatting sqref="AM194:AP194 AM201 AM203 AM204:AP1048576">
    <cfRule type="expression" priority="46970">
      <formula>WEEKDAY(AE$3,2)&gt;5</formula>
    </cfRule>
  </conditionalFormatting>
  <conditionalFormatting sqref="AQ194:AR194 AQ201:AR201 AQ203:AR1048576">
    <cfRule type="expression" priority="46943">
      <formula>WEEKDAY(AI$2,2)&gt;5</formula>
    </cfRule>
  </conditionalFormatting>
  <conditionalFormatting sqref="AS194 AS203:AS1048576 AS201">
    <cfRule type="expression" priority="46948">
      <formula>WEEKDAY(AJ$2,2)&gt;5</formula>
    </cfRule>
  </conditionalFormatting>
  <conditionalFormatting sqref="AF196:AG198">
    <cfRule type="expression" priority="6061">
      <formula>WEEKDAY(#REF!,2)&gt;5</formula>
    </cfRule>
  </conditionalFormatting>
  <conditionalFormatting sqref="AH196:AS198">
    <cfRule type="expression" priority="4225">
      <formula>WEEKDAY(#REF!,2)&gt;5</formula>
    </cfRule>
  </conditionalFormatting>
  <conditionalFormatting sqref="AH200:AM200 AQ200:AS200">
    <cfRule type="expression" priority="4220">
      <formula>WEEKDAY(#REF!,2)&gt;5</formula>
    </cfRule>
  </conditionalFormatting>
  <conditionalFormatting sqref="AH202:AM202 AQ202:AS202">
    <cfRule type="expression" priority="4224">
      <formula>WEEKDAY(#REF!,2)&gt;5</formula>
    </cfRule>
  </conditionalFormatting>
  <pageMargins left="0.196527777777778" right="0.0784722222222222" top="0.156944444444444" bottom="0.354166666666667" header="0.314583333333333" footer="0.118055555555556"/>
  <pageSetup paperSize="9" scale="50" fitToHeight="0" orientation="landscape" horizontalDpi="600"/>
  <headerFooter>
    <oddFooter>&amp;C第 &amp;P 页，共 &amp;N 页</oddFooter>
  </headerFooter>
  <rowBreaks count="6" manualBreakCount="6">
    <brk id="33" max="45" man="1"/>
    <brk id="63" max="45" man="1"/>
    <brk id="93" max="45" man="1"/>
    <brk id="123" max="45" man="1"/>
    <brk id="153" max="45" man="1"/>
    <brk id="183" max="45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256"/>
  <sheetViews>
    <sheetView tabSelected="1" view="pageBreakPreview" zoomScaleNormal="90" workbookViewId="0">
      <pane xSplit="3" ySplit="3" topLeftCell="D145" activePane="bottomRight" state="frozen"/>
      <selection/>
      <selection pane="topRight"/>
      <selection pane="bottomLeft"/>
      <selection pane="bottomRight" activeCell="B158" sqref="B158"/>
    </sheetView>
  </sheetViews>
  <sheetFormatPr defaultColWidth="9" defaultRowHeight="14.25"/>
  <cols>
    <col min="1" max="1" width="3.54166666666667" style="79" customWidth="1"/>
    <col min="2" max="2" width="7.60833333333333" style="80" customWidth="1"/>
    <col min="3" max="3" width="13" style="80" customWidth="1"/>
    <col min="4" max="4" width="5.25" style="81" customWidth="1"/>
    <col min="5" max="34" width="5.25" style="82" customWidth="1"/>
    <col min="35" max="35" width="7.34166666666667" style="82" customWidth="1"/>
    <col min="36" max="36" width="7.65833333333333" style="82" customWidth="1"/>
    <col min="37" max="37" width="6.71666666666667" style="82" customWidth="1"/>
    <col min="38" max="38" width="6.8" style="82" customWidth="1"/>
    <col min="39" max="39" width="8.275" style="82" customWidth="1"/>
    <col min="40" max="40" width="6.80833333333333" style="82" customWidth="1"/>
    <col min="41" max="42" width="6.1" style="82" customWidth="1"/>
    <col min="43" max="44" width="6.51666666666667" style="82" customWidth="1"/>
    <col min="45" max="45" width="6.525" style="82" customWidth="1"/>
    <col min="46" max="46" width="10.4083333333333" style="82" customWidth="1"/>
    <col min="47" max="47" width="18.5" style="83" customWidth="1"/>
  </cols>
  <sheetData>
    <row r="1" ht="31" customHeight="1" spans="1:47">
      <c r="A1" s="84" t="s">
        <v>299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84"/>
      <c r="AQ1" s="84"/>
      <c r="AR1" s="84"/>
      <c r="AS1" s="84"/>
      <c r="AT1" s="84"/>
      <c r="AU1" s="84"/>
    </row>
    <row r="2" ht="23" customHeight="1" spans="1:47">
      <c r="A2" s="85" t="s">
        <v>1</v>
      </c>
      <c r="B2" s="86"/>
      <c r="C2" s="86"/>
      <c r="D2" s="87">
        <v>44409</v>
      </c>
      <c r="E2" s="87">
        <v>44410</v>
      </c>
      <c r="F2" s="87">
        <v>44411</v>
      </c>
      <c r="G2" s="87">
        <v>44412</v>
      </c>
      <c r="H2" s="87">
        <v>44413</v>
      </c>
      <c r="I2" s="87">
        <v>44414</v>
      </c>
      <c r="J2" s="87">
        <v>44415</v>
      </c>
      <c r="K2" s="87">
        <v>44416</v>
      </c>
      <c r="L2" s="87">
        <v>44417</v>
      </c>
      <c r="M2" s="87">
        <v>44418</v>
      </c>
      <c r="N2" s="87">
        <v>44419</v>
      </c>
      <c r="O2" s="87">
        <v>44420</v>
      </c>
      <c r="P2" s="87">
        <v>44421</v>
      </c>
      <c r="Q2" s="87">
        <v>44422</v>
      </c>
      <c r="R2" s="87">
        <v>44423</v>
      </c>
      <c r="S2" s="87">
        <v>44424</v>
      </c>
      <c r="T2" s="87">
        <v>44425</v>
      </c>
      <c r="U2" s="87">
        <v>44426</v>
      </c>
      <c r="V2" s="87">
        <v>44427</v>
      </c>
      <c r="W2" s="87">
        <v>44428</v>
      </c>
      <c r="X2" s="87">
        <v>44429</v>
      </c>
      <c r="Y2" s="87">
        <v>44430</v>
      </c>
      <c r="Z2" s="87">
        <v>44431</v>
      </c>
      <c r="AA2" s="87">
        <v>44432</v>
      </c>
      <c r="AB2" s="87">
        <v>44433</v>
      </c>
      <c r="AC2" s="87">
        <v>44434</v>
      </c>
      <c r="AD2" s="87">
        <v>44435</v>
      </c>
      <c r="AE2" s="87">
        <v>44436</v>
      </c>
      <c r="AF2" s="87">
        <v>44437</v>
      </c>
      <c r="AG2" s="87">
        <v>44438</v>
      </c>
      <c r="AH2" s="87">
        <v>44439</v>
      </c>
      <c r="AI2" s="88" t="s">
        <v>2</v>
      </c>
      <c r="AJ2" s="88" t="s">
        <v>3</v>
      </c>
      <c r="AK2" s="88" t="s">
        <v>4</v>
      </c>
      <c r="AL2" s="88" t="s">
        <v>5</v>
      </c>
      <c r="AM2" s="88" t="s">
        <v>6</v>
      </c>
      <c r="AN2" s="88" t="s">
        <v>7</v>
      </c>
      <c r="AO2" s="88" t="s">
        <v>8</v>
      </c>
      <c r="AP2" s="88" t="s">
        <v>9</v>
      </c>
      <c r="AQ2" s="88" t="s">
        <v>10</v>
      </c>
      <c r="AR2" s="88" t="s">
        <v>300</v>
      </c>
      <c r="AS2" s="88" t="s">
        <v>301</v>
      </c>
      <c r="AT2" s="88" t="s">
        <v>12</v>
      </c>
      <c r="AU2" s="89" t="s">
        <v>13</v>
      </c>
    </row>
    <row r="3" ht="39" customHeight="1" spans="1:47">
      <c r="A3" s="85"/>
      <c r="B3" s="86"/>
      <c r="C3" s="86"/>
      <c r="D3" s="90" t="s">
        <v>16</v>
      </c>
      <c r="E3" s="90" t="s">
        <v>17</v>
      </c>
      <c r="F3" s="90" t="s">
        <v>18</v>
      </c>
      <c r="G3" s="90" t="s">
        <v>19</v>
      </c>
      <c r="H3" s="90" t="s">
        <v>20</v>
      </c>
      <c r="I3" s="90" t="s">
        <v>14</v>
      </c>
      <c r="J3" s="90" t="s">
        <v>15</v>
      </c>
      <c r="K3" s="90" t="s">
        <v>16</v>
      </c>
      <c r="L3" s="90" t="s">
        <v>17</v>
      </c>
      <c r="M3" s="90" t="s">
        <v>18</v>
      </c>
      <c r="N3" s="90" t="s">
        <v>19</v>
      </c>
      <c r="O3" s="90" t="s">
        <v>20</v>
      </c>
      <c r="P3" s="90" t="s">
        <v>14</v>
      </c>
      <c r="Q3" s="90" t="s">
        <v>15</v>
      </c>
      <c r="R3" s="90" t="s">
        <v>16</v>
      </c>
      <c r="S3" s="90" t="s">
        <v>17</v>
      </c>
      <c r="T3" s="90" t="s">
        <v>18</v>
      </c>
      <c r="U3" s="90" t="s">
        <v>19</v>
      </c>
      <c r="V3" s="90" t="s">
        <v>20</v>
      </c>
      <c r="W3" s="90" t="s">
        <v>14</v>
      </c>
      <c r="X3" s="90" t="s">
        <v>15</v>
      </c>
      <c r="Y3" s="90" t="s">
        <v>16</v>
      </c>
      <c r="Z3" s="90" t="s">
        <v>17</v>
      </c>
      <c r="AA3" s="90" t="s">
        <v>18</v>
      </c>
      <c r="AB3" s="90" t="s">
        <v>19</v>
      </c>
      <c r="AC3" s="90" t="s">
        <v>20</v>
      </c>
      <c r="AD3" s="90" t="s">
        <v>14</v>
      </c>
      <c r="AE3" s="90" t="s">
        <v>15</v>
      </c>
      <c r="AF3" s="90" t="s">
        <v>16</v>
      </c>
      <c r="AG3" s="90" t="s">
        <v>17</v>
      </c>
      <c r="AH3" s="90" t="s">
        <v>18</v>
      </c>
      <c r="AI3" s="91"/>
      <c r="AJ3" s="91"/>
      <c r="AK3" s="91"/>
      <c r="AL3" s="91"/>
      <c r="AM3" s="91"/>
      <c r="AN3" s="91"/>
      <c r="AO3" s="91"/>
      <c r="AP3" s="91"/>
      <c r="AQ3" s="91"/>
      <c r="AR3" s="91"/>
      <c r="AS3" s="91"/>
      <c r="AT3" s="91"/>
      <c r="AU3" s="89"/>
    </row>
    <row r="4" ht="34" customHeight="1" spans="1:47">
      <c r="A4" s="92">
        <f>ROW()-3</f>
        <v>1</v>
      </c>
      <c r="B4" s="93" t="s">
        <v>21</v>
      </c>
      <c r="C4" s="94" t="s">
        <v>22</v>
      </c>
      <c r="D4" s="95" t="s">
        <v>23</v>
      </c>
      <c r="E4" s="95" t="s">
        <v>23</v>
      </c>
      <c r="F4" s="95" t="s">
        <v>24</v>
      </c>
      <c r="G4" s="95" t="s">
        <v>24</v>
      </c>
      <c r="H4" s="95" t="s">
        <v>24</v>
      </c>
      <c r="I4" s="96" t="s">
        <v>29</v>
      </c>
      <c r="J4" s="97" t="s">
        <v>26</v>
      </c>
      <c r="K4" s="97" t="s">
        <v>26</v>
      </c>
      <c r="L4" s="97" t="s">
        <v>26</v>
      </c>
      <c r="M4" s="95" t="s">
        <v>24</v>
      </c>
      <c r="N4" s="97" t="s">
        <v>26</v>
      </c>
      <c r="O4" s="97" t="s">
        <v>26</v>
      </c>
      <c r="P4" s="97" t="s">
        <v>26</v>
      </c>
      <c r="Q4" s="97" t="s">
        <v>26</v>
      </c>
      <c r="R4" s="96" t="s">
        <v>134</v>
      </c>
      <c r="S4" s="95" t="s">
        <v>24</v>
      </c>
      <c r="T4" s="95" t="s">
        <v>24</v>
      </c>
      <c r="U4" s="97" t="s">
        <v>26</v>
      </c>
      <c r="V4" s="97" t="s">
        <v>26</v>
      </c>
      <c r="W4" s="97" t="s">
        <v>26</v>
      </c>
      <c r="X4" s="97" t="s">
        <v>26</v>
      </c>
      <c r="Y4" s="97" t="s">
        <v>26</v>
      </c>
      <c r="Z4" s="95" t="s">
        <v>24</v>
      </c>
      <c r="AA4" s="95" t="s">
        <v>24</v>
      </c>
      <c r="AB4" s="97" t="s">
        <v>26</v>
      </c>
      <c r="AC4" s="96" t="s">
        <v>70</v>
      </c>
      <c r="AD4" s="97" t="s">
        <v>26</v>
      </c>
      <c r="AE4" s="96" t="s">
        <v>70</v>
      </c>
      <c r="AF4" s="96" t="s">
        <v>70</v>
      </c>
      <c r="AG4" s="95" t="s">
        <v>24</v>
      </c>
      <c r="AH4" s="95" t="s">
        <v>24</v>
      </c>
      <c r="AI4" s="98">
        <v>31</v>
      </c>
      <c r="AJ4" s="98">
        <f t="shared" ref="AJ4:AJ27" si="0">AI4-AM4-AK4-AL4</f>
        <v>17.94</v>
      </c>
      <c r="AK4" s="98">
        <v>10</v>
      </c>
      <c r="AL4" s="98">
        <v>2</v>
      </c>
      <c r="AM4" s="98">
        <v>1.06</v>
      </c>
      <c r="AN4" s="98"/>
      <c r="AO4" s="98">
        <v>1.06</v>
      </c>
      <c r="AP4" s="98"/>
      <c r="AQ4" s="98"/>
      <c r="AR4" s="98"/>
      <c r="AS4" s="98"/>
      <c r="AT4" s="98">
        <f t="shared" ref="AT4:AT27" si="1">AM4-AN4-AO4-AP4-AQ4-AR4+AS4</f>
        <v>0</v>
      </c>
      <c r="AU4" s="99" t="s">
        <v>302</v>
      </c>
    </row>
    <row r="5" ht="34" customHeight="1" spans="1:47">
      <c r="A5" s="92">
        <f t="shared" ref="A5:A68" si="2">ROW()-3</f>
        <v>2</v>
      </c>
      <c r="B5" s="93" t="s">
        <v>28</v>
      </c>
      <c r="C5" s="94" t="s">
        <v>22</v>
      </c>
      <c r="D5" s="95" t="s">
        <v>23</v>
      </c>
      <c r="E5" s="95" t="s">
        <v>23</v>
      </c>
      <c r="F5" s="95" t="s">
        <v>24</v>
      </c>
      <c r="G5" s="95" t="s">
        <v>24</v>
      </c>
      <c r="H5" s="95" t="s">
        <v>24</v>
      </c>
      <c r="I5" s="97" t="s">
        <v>26</v>
      </c>
      <c r="J5" s="97" t="s">
        <v>26</v>
      </c>
      <c r="K5" s="97" t="s">
        <v>26</v>
      </c>
      <c r="L5" s="97" t="s">
        <v>26</v>
      </c>
      <c r="M5" s="95" t="s">
        <v>24</v>
      </c>
      <c r="N5" s="97" t="s">
        <v>26</v>
      </c>
      <c r="O5" s="97" t="s">
        <v>26</v>
      </c>
      <c r="P5" s="97" t="s">
        <v>26</v>
      </c>
      <c r="Q5" s="97" t="s">
        <v>26</v>
      </c>
      <c r="R5" s="97" t="s">
        <v>26</v>
      </c>
      <c r="S5" s="95" t="s">
        <v>24</v>
      </c>
      <c r="T5" s="95" t="s">
        <v>24</v>
      </c>
      <c r="U5" s="97" t="s">
        <v>26</v>
      </c>
      <c r="V5" s="97" t="s">
        <v>26</v>
      </c>
      <c r="W5" s="97" t="s">
        <v>26</v>
      </c>
      <c r="X5" s="97" t="s">
        <v>26</v>
      </c>
      <c r="Y5" s="97" t="s">
        <v>26</v>
      </c>
      <c r="Z5" s="95" t="s">
        <v>24</v>
      </c>
      <c r="AA5" s="95" t="s">
        <v>24</v>
      </c>
      <c r="AB5" s="97" t="s">
        <v>26</v>
      </c>
      <c r="AC5" s="97" t="s">
        <v>26</v>
      </c>
      <c r="AD5" s="97" t="s">
        <v>26</v>
      </c>
      <c r="AE5" s="97" t="s">
        <v>26</v>
      </c>
      <c r="AF5" s="97" t="s">
        <v>26</v>
      </c>
      <c r="AG5" s="95" t="s">
        <v>24</v>
      </c>
      <c r="AH5" s="95" t="s">
        <v>24</v>
      </c>
      <c r="AI5" s="98">
        <v>31</v>
      </c>
      <c r="AJ5" s="98">
        <f t="shared" si="0"/>
        <v>19</v>
      </c>
      <c r="AK5" s="98">
        <v>10</v>
      </c>
      <c r="AL5" s="98">
        <v>2</v>
      </c>
      <c r="AM5" s="98"/>
      <c r="AN5" s="98"/>
      <c r="AO5" s="98"/>
      <c r="AP5" s="98"/>
      <c r="AQ5" s="98"/>
      <c r="AR5" s="98"/>
      <c r="AS5" s="98"/>
      <c r="AT5" s="98">
        <f t="shared" si="1"/>
        <v>0</v>
      </c>
      <c r="AU5" s="99"/>
    </row>
    <row r="6" customFormat="1" ht="34" customHeight="1" spans="1:47">
      <c r="A6" s="92">
        <f t="shared" si="2"/>
        <v>3</v>
      </c>
      <c r="B6" s="93" t="s">
        <v>31</v>
      </c>
      <c r="C6" s="94" t="s">
        <v>22</v>
      </c>
      <c r="D6" s="95" t="s">
        <v>23</v>
      </c>
      <c r="E6" s="95" t="s">
        <v>23</v>
      </c>
      <c r="F6" s="95" t="s">
        <v>24</v>
      </c>
      <c r="G6" s="95" t="s">
        <v>24</v>
      </c>
      <c r="H6" s="95" t="s">
        <v>24</v>
      </c>
      <c r="I6" s="97" t="s">
        <v>26</v>
      </c>
      <c r="J6" s="97" t="s">
        <v>26</v>
      </c>
      <c r="K6" s="97" t="s">
        <v>26</v>
      </c>
      <c r="L6" s="97" t="s">
        <v>26</v>
      </c>
      <c r="M6" s="95" t="s">
        <v>24</v>
      </c>
      <c r="N6" s="97" t="s">
        <v>26</v>
      </c>
      <c r="O6" s="97" t="s">
        <v>26</v>
      </c>
      <c r="P6" s="97" t="s">
        <v>26</v>
      </c>
      <c r="Q6" s="97" t="s">
        <v>26</v>
      </c>
      <c r="R6" s="97" t="s">
        <v>26</v>
      </c>
      <c r="S6" s="95" t="s">
        <v>24</v>
      </c>
      <c r="T6" s="95" t="s">
        <v>24</v>
      </c>
      <c r="U6" s="97" t="s">
        <v>26</v>
      </c>
      <c r="V6" s="97" t="s">
        <v>26</v>
      </c>
      <c r="W6" s="97" t="s">
        <v>26</v>
      </c>
      <c r="X6" s="97" t="s">
        <v>26</v>
      </c>
      <c r="Y6" s="97" t="s">
        <v>26</v>
      </c>
      <c r="Z6" s="95" t="s">
        <v>24</v>
      </c>
      <c r="AA6" s="95" t="s">
        <v>24</v>
      </c>
      <c r="AB6" s="97" t="s">
        <v>26</v>
      </c>
      <c r="AC6" s="97" t="s">
        <v>26</v>
      </c>
      <c r="AD6" s="97" t="s">
        <v>26</v>
      </c>
      <c r="AE6" s="97" t="s">
        <v>26</v>
      </c>
      <c r="AF6" s="97" t="s">
        <v>26</v>
      </c>
      <c r="AG6" s="95" t="s">
        <v>24</v>
      </c>
      <c r="AH6" s="95" t="s">
        <v>24</v>
      </c>
      <c r="AI6" s="98">
        <v>31</v>
      </c>
      <c r="AJ6" s="98">
        <f t="shared" si="0"/>
        <v>19</v>
      </c>
      <c r="AK6" s="98">
        <v>10</v>
      </c>
      <c r="AL6" s="98">
        <v>2</v>
      </c>
      <c r="AM6" s="98"/>
      <c r="AN6" s="98"/>
      <c r="AO6" s="98"/>
      <c r="AP6" s="98"/>
      <c r="AQ6" s="98"/>
      <c r="AR6" s="98"/>
      <c r="AS6" s="98"/>
      <c r="AT6" s="98">
        <f t="shared" si="1"/>
        <v>0</v>
      </c>
      <c r="AU6" s="99"/>
    </row>
    <row r="7" ht="34" customHeight="1" spans="1:47">
      <c r="A7" s="92">
        <f t="shared" si="2"/>
        <v>4</v>
      </c>
      <c r="B7" s="93" t="s">
        <v>32</v>
      </c>
      <c r="C7" s="94" t="s">
        <v>22</v>
      </c>
      <c r="D7" s="95" t="s">
        <v>23</v>
      </c>
      <c r="E7" s="95" t="s">
        <v>23</v>
      </c>
      <c r="F7" s="95" t="s">
        <v>24</v>
      </c>
      <c r="G7" s="95" t="s">
        <v>24</v>
      </c>
      <c r="H7" s="95" t="s">
        <v>24</v>
      </c>
      <c r="I7" s="97" t="s">
        <v>26</v>
      </c>
      <c r="J7" s="97" t="s">
        <v>26</v>
      </c>
      <c r="K7" s="97" t="s">
        <v>26</v>
      </c>
      <c r="L7" s="97" t="s">
        <v>26</v>
      </c>
      <c r="M7" s="95" t="s">
        <v>24</v>
      </c>
      <c r="N7" s="97" t="s">
        <v>26</v>
      </c>
      <c r="O7" s="97" t="s">
        <v>26</v>
      </c>
      <c r="P7" s="97" t="s">
        <v>26</v>
      </c>
      <c r="Q7" s="97" t="s">
        <v>26</v>
      </c>
      <c r="R7" s="97" t="s">
        <v>26</v>
      </c>
      <c r="S7" s="95" t="s">
        <v>24</v>
      </c>
      <c r="T7" s="95" t="s">
        <v>24</v>
      </c>
      <c r="U7" s="97" t="s">
        <v>26</v>
      </c>
      <c r="V7" s="97" t="s">
        <v>26</v>
      </c>
      <c r="W7" s="97" t="s">
        <v>26</v>
      </c>
      <c r="X7" s="97" t="s">
        <v>26</v>
      </c>
      <c r="Y7" s="97" t="s">
        <v>26</v>
      </c>
      <c r="Z7" s="95" t="s">
        <v>24</v>
      </c>
      <c r="AA7" s="95" t="s">
        <v>24</v>
      </c>
      <c r="AB7" s="100" t="s">
        <v>25</v>
      </c>
      <c r="AC7" s="100" t="s">
        <v>25</v>
      </c>
      <c r="AD7" s="97" t="s">
        <v>26</v>
      </c>
      <c r="AE7" s="97" t="s">
        <v>26</v>
      </c>
      <c r="AF7" s="97" t="s">
        <v>26</v>
      </c>
      <c r="AG7" s="95" t="s">
        <v>24</v>
      </c>
      <c r="AH7" s="95" t="s">
        <v>24</v>
      </c>
      <c r="AI7" s="98">
        <v>31</v>
      </c>
      <c r="AJ7" s="98">
        <f t="shared" si="0"/>
        <v>17</v>
      </c>
      <c r="AK7" s="98">
        <v>10</v>
      </c>
      <c r="AL7" s="98">
        <v>2</v>
      </c>
      <c r="AM7" s="98">
        <v>2</v>
      </c>
      <c r="AN7" s="98"/>
      <c r="AO7" s="98"/>
      <c r="AP7" s="98"/>
      <c r="AQ7" s="98"/>
      <c r="AR7" s="98"/>
      <c r="AS7" s="98"/>
      <c r="AT7" s="98">
        <f t="shared" si="1"/>
        <v>2</v>
      </c>
      <c r="AU7" s="99"/>
    </row>
    <row r="8" ht="34" customHeight="1" spans="1:47">
      <c r="A8" s="92">
        <f t="shared" si="2"/>
        <v>5</v>
      </c>
      <c r="B8" s="93" t="s">
        <v>82</v>
      </c>
      <c r="C8" s="94" t="s">
        <v>22</v>
      </c>
      <c r="D8" s="95" t="s">
        <v>23</v>
      </c>
      <c r="E8" s="95" t="s">
        <v>23</v>
      </c>
      <c r="F8" s="95" t="s">
        <v>24</v>
      </c>
      <c r="G8" s="95" t="s">
        <v>24</v>
      </c>
      <c r="H8" s="95" t="s">
        <v>24</v>
      </c>
      <c r="I8" s="97" t="s">
        <v>26</v>
      </c>
      <c r="J8" s="97" t="s">
        <v>26</v>
      </c>
      <c r="K8" s="97" t="s">
        <v>26</v>
      </c>
      <c r="L8" s="97" t="s">
        <v>26</v>
      </c>
      <c r="M8" s="95" t="s">
        <v>24</v>
      </c>
      <c r="N8" s="97" t="s">
        <v>26</v>
      </c>
      <c r="O8" s="97" t="s">
        <v>26</v>
      </c>
      <c r="P8" s="97" t="s">
        <v>26</v>
      </c>
      <c r="Q8" s="97" t="s">
        <v>26</v>
      </c>
      <c r="R8" s="97" t="s">
        <v>26</v>
      </c>
      <c r="S8" s="95" t="s">
        <v>24</v>
      </c>
      <c r="T8" s="95" t="s">
        <v>24</v>
      </c>
      <c r="U8" s="97" t="s">
        <v>26</v>
      </c>
      <c r="V8" s="97" t="s">
        <v>26</v>
      </c>
      <c r="W8" s="97" t="s">
        <v>26</v>
      </c>
      <c r="X8" s="97" t="s">
        <v>26</v>
      </c>
      <c r="Y8" s="97" t="s">
        <v>26</v>
      </c>
      <c r="Z8" s="95" t="s">
        <v>24</v>
      </c>
      <c r="AA8" s="95" t="s">
        <v>24</v>
      </c>
      <c r="AB8" s="97" t="s">
        <v>26</v>
      </c>
      <c r="AC8" s="97" t="s">
        <v>26</v>
      </c>
      <c r="AD8" s="97" t="s">
        <v>26</v>
      </c>
      <c r="AE8" s="97" t="s">
        <v>26</v>
      </c>
      <c r="AF8" s="97" t="s">
        <v>26</v>
      </c>
      <c r="AG8" s="95" t="s">
        <v>24</v>
      </c>
      <c r="AH8" s="95" t="s">
        <v>24</v>
      </c>
      <c r="AI8" s="98">
        <v>31</v>
      </c>
      <c r="AJ8" s="98">
        <f t="shared" si="0"/>
        <v>19</v>
      </c>
      <c r="AK8" s="98">
        <v>10</v>
      </c>
      <c r="AL8" s="98">
        <v>2</v>
      </c>
      <c r="AM8" s="98"/>
      <c r="AN8" s="98"/>
      <c r="AO8" s="98"/>
      <c r="AP8" s="98"/>
      <c r="AQ8" s="98"/>
      <c r="AR8" s="98"/>
      <c r="AS8" s="98"/>
      <c r="AT8" s="98">
        <f t="shared" si="1"/>
        <v>0</v>
      </c>
      <c r="AU8" s="99"/>
    </row>
    <row r="9" ht="34" customHeight="1" spans="1:47">
      <c r="A9" s="92">
        <f t="shared" si="2"/>
        <v>6</v>
      </c>
      <c r="B9" s="93" t="s">
        <v>303</v>
      </c>
      <c r="C9" s="94" t="s">
        <v>22</v>
      </c>
      <c r="D9" s="95" t="s">
        <v>23</v>
      </c>
      <c r="E9" s="95" t="s">
        <v>23</v>
      </c>
      <c r="F9" s="95" t="s">
        <v>24</v>
      </c>
      <c r="G9" s="95" t="s">
        <v>24</v>
      </c>
      <c r="H9" s="95" t="s">
        <v>24</v>
      </c>
      <c r="I9" s="97" t="s">
        <v>26</v>
      </c>
      <c r="J9" s="97" t="s">
        <v>26</v>
      </c>
      <c r="K9" s="97" t="s">
        <v>26</v>
      </c>
      <c r="L9" s="97" t="s">
        <v>26</v>
      </c>
      <c r="M9" s="95" t="s">
        <v>24</v>
      </c>
      <c r="N9" s="97" t="s">
        <v>26</v>
      </c>
      <c r="O9" s="97" t="s">
        <v>26</v>
      </c>
      <c r="P9" s="97" t="s">
        <v>26</v>
      </c>
      <c r="Q9" s="97" t="s">
        <v>26</v>
      </c>
      <c r="R9" s="97" t="s">
        <v>26</v>
      </c>
      <c r="S9" s="95" t="s">
        <v>24</v>
      </c>
      <c r="T9" s="95" t="s">
        <v>24</v>
      </c>
      <c r="U9" s="97" t="s">
        <v>26</v>
      </c>
      <c r="V9" s="97" t="s">
        <v>26</v>
      </c>
      <c r="W9" s="97" t="s">
        <v>26</v>
      </c>
      <c r="X9" s="97" t="s">
        <v>26</v>
      </c>
      <c r="Y9" s="97" t="s">
        <v>26</v>
      </c>
      <c r="Z9" s="95" t="s">
        <v>24</v>
      </c>
      <c r="AA9" s="95" t="s">
        <v>24</v>
      </c>
      <c r="AB9" s="97" t="s">
        <v>26</v>
      </c>
      <c r="AC9" s="97" t="s">
        <v>26</v>
      </c>
      <c r="AD9" s="97" t="s">
        <v>26</v>
      </c>
      <c r="AE9" s="97" t="s">
        <v>26</v>
      </c>
      <c r="AF9" s="97" t="s">
        <v>26</v>
      </c>
      <c r="AG9" s="95" t="s">
        <v>24</v>
      </c>
      <c r="AH9" s="95" t="s">
        <v>24</v>
      </c>
      <c r="AI9" s="98">
        <v>31</v>
      </c>
      <c r="AJ9" s="98">
        <f t="shared" si="0"/>
        <v>19</v>
      </c>
      <c r="AK9" s="98">
        <v>10</v>
      </c>
      <c r="AL9" s="98">
        <v>2</v>
      </c>
      <c r="AM9" s="98"/>
      <c r="AN9" s="98"/>
      <c r="AO9" s="98"/>
      <c r="AP9" s="98"/>
      <c r="AQ9" s="98"/>
      <c r="AR9" s="98"/>
      <c r="AS9" s="98"/>
      <c r="AT9" s="98">
        <f t="shared" si="1"/>
        <v>0</v>
      </c>
      <c r="AU9" s="99"/>
    </row>
    <row r="10" ht="34" customHeight="1" spans="1:47">
      <c r="A10" s="92">
        <f t="shared" si="2"/>
        <v>7</v>
      </c>
      <c r="B10" s="101" t="s">
        <v>304</v>
      </c>
      <c r="C10" s="94" t="s">
        <v>22</v>
      </c>
      <c r="D10" s="102" t="s">
        <v>34</v>
      </c>
      <c r="E10" s="102" t="s">
        <v>34</v>
      </c>
      <c r="F10" s="102" t="s">
        <v>34</v>
      </c>
      <c r="G10" s="102" t="s">
        <v>34</v>
      </c>
      <c r="H10" s="102" t="s">
        <v>34</v>
      </c>
      <c r="I10" s="102" t="s">
        <v>34</v>
      </c>
      <c r="J10" s="102" t="s">
        <v>34</v>
      </c>
      <c r="K10" s="102" t="s">
        <v>34</v>
      </c>
      <c r="L10" s="102" t="s">
        <v>34</v>
      </c>
      <c r="M10" s="102" t="s">
        <v>34</v>
      </c>
      <c r="N10" s="97" t="s">
        <v>26</v>
      </c>
      <c r="O10" s="97" t="s">
        <v>26</v>
      </c>
      <c r="P10" s="97" t="s">
        <v>26</v>
      </c>
      <c r="Q10" s="97" t="s">
        <v>26</v>
      </c>
      <c r="R10" s="97" t="s">
        <v>26</v>
      </c>
      <c r="S10" s="95" t="s">
        <v>24</v>
      </c>
      <c r="T10" s="95" t="s">
        <v>24</v>
      </c>
      <c r="U10" s="97" t="s">
        <v>26</v>
      </c>
      <c r="V10" s="97" t="s">
        <v>26</v>
      </c>
      <c r="W10" s="97" t="s">
        <v>26</v>
      </c>
      <c r="X10" s="97" t="s">
        <v>26</v>
      </c>
      <c r="Y10" s="97" t="s">
        <v>26</v>
      </c>
      <c r="Z10" s="95" t="s">
        <v>24</v>
      </c>
      <c r="AA10" s="95" t="s">
        <v>24</v>
      </c>
      <c r="AB10" s="97" t="s">
        <v>26</v>
      </c>
      <c r="AC10" s="97" t="s">
        <v>26</v>
      </c>
      <c r="AD10" s="97" t="s">
        <v>26</v>
      </c>
      <c r="AE10" s="97" t="s">
        <v>26</v>
      </c>
      <c r="AF10" s="97" t="s">
        <v>26</v>
      </c>
      <c r="AG10" s="95" t="s">
        <v>24</v>
      </c>
      <c r="AH10" s="95" t="s">
        <v>24</v>
      </c>
      <c r="AI10" s="98">
        <v>31</v>
      </c>
      <c r="AJ10" s="98">
        <f t="shared" si="0"/>
        <v>15</v>
      </c>
      <c r="AK10" s="98">
        <v>10</v>
      </c>
      <c r="AL10" s="98">
        <v>0</v>
      </c>
      <c r="AM10" s="98">
        <v>6</v>
      </c>
      <c r="AN10" s="98"/>
      <c r="AO10" s="98"/>
      <c r="AP10" s="98"/>
      <c r="AQ10" s="98"/>
      <c r="AR10" s="98"/>
      <c r="AS10" s="98"/>
      <c r="AT10" s="98">
        <f t="shared" si="1"/>
        <v>6</v>
      </c>
      <c r="AU10" s="99" t="s">
        <v>305</v>
      </c>
    </row>
    <row r="11" ht="34" customHeight="1" spans="1:47">
      <c r="A11" s="92">
        <f t="shared" si="2"/>
        <v>8</v>
      </c>
      <c r="B11" s="93" t="s">
        <v>47</v>
      </c>
      <c r="C11" s="94" t="s">
        <v>46</v>
      </c>
      <c r="D11" s="95" t="s">
        <v>23</v>
      </c>
      <c r="E11" s="95" t="s">
        <v>23</v>
      </c>
      <c r="F11" s="95" t="s">
        <v>24</v>
      </c>
      <c r="G11" s="95" t="s">
        <v>24</v>
      </c>
      <c r="H11" s="95" t="s">
        <v>24</v>
      </c>
      <c r="I11" s="97" t="s">
        <v>26</v>
      </c>
      <c r="J11" s="97" t="s">
        <v>26</v>
      </c>
      <c r="K11" s="97" t="s">
        <v>26</v>
      </c>
      <c r="L11" s="97" t="s">
        <v>26</v>
      </c>
      <c r="M11" s="95" t="s">
        <v>24</v>
      </c>
      <c r="N11" s="97" t="s">
        <v>26</v>
      </c>
      <c r="O11" s="97" t="s">
        <v>26</v>
      </c>
      <c r="P11" s="97" t="s">
        <v>26</v>
      </c>
      <c r="Q11" s="97" t="s">
        <v>26</v>
      </c>
      <c r="R11" s="97" t="s">
        <v>26</v>
      </c>
      <c r="S11" s="95" t="s">
        <v>24</v>
      </c>
      <c r="T11" s="95" t="s">
        <v>24</v>
      </c>
      <c r="U11" s="97" t="s">
        <v>26</v>
      </c>
      <c r="V11" s="97" t="s">
        <v>26</v>
      </c>
      <c r="W11" s="97" t="s">
        <v>26</v>
      </c>
      <c r="X11" s="97" t="s">
        <v>26</v>
      </c>
      <c r="Y11" s="97" t="s">
        <v>26</v>
      </c>
      <c r="Z11" s="95" t="s">
        <v>24</v>
      </c>
      <c r="AA11" s="95" t="s">
        <v>24</v>
      </c>
      <c r="AB11" s="97" t="s">
        <v>26</v>
      </c>
      <c r="AC11" s="97" t="s">
        <v>26</v>
      </c>
      <c r="AD11" s="97" t="s">
        <v>26</v>
      </c>
      <c r="AE11" s="97" t="s">
        <v>26</v>
      </c>
      <c r="AF11" s="97" t="s">
        <v>26</v>
      </c>
      <c r="AG11" s="95" t="s">
        <v>24</v>
      </c>
      <c r="AH11" s="95" t="s">
        <v>24</v>
      </c>
      <c r="AI11" s="98">
        <v>31</v>
      </c>
      <c r="AJ11" s="98">
        <f t="shared" si="0"/>
        <v>19</v>
      </c>
      <c r="AK11" s="98">
        <v>10</v>
      </c>
      <c r="AL11" s="98">
        <v>2</v>
      </c>
      <c r="AM11" s="98"/>
      <c r="AN11" s="98"/>
      <c r="AO11" s="98"/>
      <c r="AP11" s="98"/>
      <c r="AQ11" s="98"/>
      <c r="AR11" s="98"/>
      <c r="AS11" s="98"/>
      <c r="AT11" s="98">
        <f t="shared" si="1"/>
        <v>0</v>
      </c>
      <c r="AU11" s="99"/>
    </row>
    <row r="12" ht="34" customHeight="1" spans="1:47">
      <c r="A12" s="92">
        <f t="shared" si="2"/>
        <v>9</v>
      </c>
      <c r="B12" s="93" t="s">
        <v>48</v>
      </c>
      <c r="C12" s="94" t="s">
        <v>46</v>
      </c>
      <c r="D12" s="95" t="s">
        <v>23</v>
      </c>
      <c r="E12" s="95" t="s">
        <v>23</v>
      </c>
      <c r="F12" s="95" t="s">
        <v>24</v>
      </c>
      <c r="G12" s="95" t="s">
        <v>24</v>
      </c>
      <c r="H12" s="95" t="s">
        <v>24</v>
      </c>
      <c r="I12" s="100" t="s">
        <v>25</v>
      </c>
      <c r="J12" s="100" t="s">
        <v>306</v>
      </c>
      <c r="K12" s="97" t="s">
        <v>26</v>
      </c>
      <c r="L12" s="97" t="s">
        <v>26</v>
      </c>
      <c r="M12" s="95" t="s">
        <v>24</v>
      </c>
      <c r="N12" s="97" t="s">
        <v>26</v>
      </c>
      <c r="O12" s="97" t="s">
        <v>26</v>
      </c>
      <c r="P12" s="97" t="s">
        <v>26</v>
      </c>
      <c r="Q12" s="97" t="s">
        <v>26</v>
      </c>
      <c r="R12" s="97" t="s">
        <v>26</v>
      </c>
      <c r="S12" s="95" t="s">
        <v>24</v>
      </c>
      <c r="T12" s="95" t="s">
        <v>24</v>
      </c>
      <c r="U12" s="97" t="s">
        <v>26</v>
      </c>
      <c r="V12" s="97" t="s">
        <v>26</v>
      </c>
      <c r="W12" s="97" t="s">
        <v>26</v>
      </c>
      <c r="X12" s="100" t="s">
        <v>307</v>
      </c>
      <c r="Y12" s="97" t="s">
        <v>26</v>
      </c>
      <c r="Z12" s="95" t="s">
        <v>24</v>
      </c>
      <c r="AA12" s="95" t="s">
        <v>24</v>
      </c>
      <c r="AB12" s="97" t="s">
        <v>26</v>
      </c>
      <c r="AC12" s="100" t="s">
        <v>25</v>
      </c>
      <c r="AD12" s="97" t="s">
        <v>26</v>
      </c>
      <c r="AE12" s="97" t="s">
        <v>26</v>
      </c>
      <c r="AF12" s="97" t="s">
        <v>26</v>
      </c>
      <c r="AG12" s="95" t="s">
        <v>24</v>
      </c>
      <c r="AH12" s="95" t="s">
        <v>24</v>
      </c>
      <c r="AI12" s="98">
        <v>31</v>
      </c>
      <c r="AJ12" s="98">
        <f t="shared" si="0"/>
        <v>16.33</v>
      </c>
      <c r="AK12" s="98">
        <v>10</v>
      </c>
      <c r="AL12" s="98">
        <v>2</v>
      </c>
      <c r="AM12" s="98">
        <v>2.67</v>
      </c>
      <c r="AN12" s="98"/>
      <c r="AO12" s="98"/>
      <c r="AP12" s="93"/>
      <c r="AQ12" s="98"/>
      <c r="AR12" s="98"/>
      <c r="AS12" s="98"/>
      <c r="AT12" s="98">
        <f t="shared" si="1"/>
        <v>2.67</v>
      </c>
      <c r="AU12" s="99"/>
    </row>
    <row r="13" ht="34" customHeight="1" spans="1:47">
      <c r="A13" s="92">
        <f t="shared" si="2"/>
        <v>10</v>
      </c>
      <c r="B13" s="93" t="s">
        <v>54</v>
      </c>
      <c r="C13" s="94" t="s">
        <v>46</v>
      </c>
      <c r="D13" s="95" t="s">
        <v>23</v>
      </c>
      <c r="E13" s="95" t="s">
        <v>23</v>
      </c>
      <c r="F13" s="95" t="s">
        <v>24</v>
      </c>
      <c r="G13" s="95" t="s">
        <v>24</v>
      </c>
      <c r="H13" s="95" t="s">
        <v>24</v>
      </c>
      <c r="I13" s="97" t="s">
        <v>26</v>
      </c>
      <c r="J13" s="97" t="s">
        <v>26</v>
      </c>
      <c r="K13" s="97" t="s">
        <v>26</v>
      </c>
      <c r="L13" s="97" t="s">
        <v>26</v>
      </c>
      <c r="M13" s="95" t="s">
        <v>24</v>
      </c>
      <c r="N13" s="97" t="s">
        <v>26</v>
      </c>
      <c r="O13" s="97" t="s">
        <v>26</v>
      </c>
      <c r="P13" s="97" t="s">
        <v>26</v>
      </c>
      <c r="Q13" s="97" t="s">
        <v>26</v>
      </c>
      <c r="R13" s="97" t="s">
        <v>26</v>
      </c>
      <c r="S13" s="95" t="s">
        <v>24</v>
      </c>
      <c r="T13" s="95" t="s">
        <v>24</v>
      </c>
      <c r="U13" s="97" t="s">
        <v>26</v>
      </c>
      <c r="V13" s="97" t="s">
        <v>26</v>
      </c>
      <c r="W13" s="97" t="s">
        <v>26</v>
      </c>
      <c r="X13" s="97" t="s">
        <v>26</v>
      </c>
      <c r="Y13" s="97" t="s">
        <v>26</v>
      </c>
      <c r="Z13" s="95" t="s">
        <v>24</v>
      </c>
      <c r="AA13" s="95" t="s">
        <v>24</v>
      </c>
      <c r="AB13" s="97" t="s">
        <v>26</v>
      </c>
      <c r="AC13" s="97" t="s">
        <v>26</v>
      </c>
      <c r="AD13" s="97" t="s">
        <v>26</v>
      </c>
      <c r="AE13" s="97" t="s">
        <v>26</v>
      </c>
      <c r="AF13" s="97" t="s">
        <v>26</v>
      </c>
      <c r="AG13" s="95" t="s">
        <v>24</v>
      </c>
      <c r="AH13" s="95" t="s">
        <v>24</v>
      </c>
      <c r="AI13" s="98">
        <v>31</v>
      </c>
      <c r="AJ13" s="98">
        <f t="shared" si="0"/>
        <v>19</v>
      </c>
      <c r="AK13" s="98">
        <v>10</v>
      </c>
      <c r="AL13" s="98">
        <v>2</v>
      </c>
      <c r="AM13" s="98"/>
      <c r="AN13" s="98"/>
      <c r="AO13" s="98"/>
      <c r="AP13" s="98"/>
      <c r="AQ13" s="98"/>
      <c r="AR13" s="98"/>
      <c r="AS13" s="98"/>
      <c r="AT13" s="98">
        <f t="shared" si="1"/>
        <v>0</v>
      </c>
      <c r="AU13" s="99"/>
    </row>
    <row r="14" ht="34" customHeight="1" spans="1:47">
      <c r="A14" s="92">
        <f t="shared" si="2"/>
        <v>11</v>
      </c>
      <c r="B14" s="93" t="s">
        <v>58</v>
      </c>
      <c r="C14" s="94" t="s">
        <v>56</v>
      </c>
      <c r="D14" s="95" t="s">
        <v>23</v>
      </c>
      <c r="E14" s="95" t="s">
        <v>23</v>
      </c>
      <c r="F14" s="95" t="s">
        <v>24</v>
      </c>
      <c r="G14" s="95" t="s">
        <v>24</v>
      </c>
      <c r="H14" s="95" t="s">
        <v>24</v>
      </c>
      <c r="I14" s="97" t="s">
        <v>26</v>
      </c>
      <c r="J14" s="97" t="s">
        <v>26</v>
      </c>
      <c r="K14" s="97" t="s">
        <v>26</v>
      </c>
      <c r="L14" s="97" t="s">
        <v>26</v>
      </c>
      <c r="M14" s="95" t="s">
        <v>24</v>
      </c>
      <c r="N14" s="97" t="s">
        <v>26</v>
      </c>
      <c r="O14" s="97" t="s">
        <v>26</v>
      </c>
      <c r="P14" s="97" t="s">
        <v>26</v>
      </c>
      <c r="Q14" s="97" t="s">
        <v>26</v>
      </c>
      <c r="R14" s="97" t="s">
        <v>26</v>
      </c>
      <c r="S14" s="95" t="s">
        <v>24</v>
      </c>
      <c r="T14" s="95" t="s">
        <v>24</v>
      </c>
      <c r="U14" s="97" t="s">
        <v>26</v>
      </c>
      <c r="V14" s="97" t="s">
        <v>26</v>
      </c>
      <c r="W14" s="97" t="s">
        <v>26</v>
      </c>
      <c r="X14" s="97" t="s">
        <v>26</v>
      </c>
      <c r="Y14" s="97" t="s">
        <v>26</v>
      </c>
      <c r="Z14" s="95" t="s">
        <v>24</v>
      </c>
      <c r="AA14" s="95" t="s">
        <v>24</v>
      </c>
      <c r="AB14" s="97" t="s">
        <v>26</v>
      </c>
      <c r="AC14" s="97" t="s">
        <v>26</v>
      </c>
      <c r="AD14" s="97" t="s">
        <v>26</v>
      </c>
      <c r="AE14" s="97" t="s">
        <v>26</v>
      </c>
      <c r="AF14" s="97" t="s">
        <v>26</v>
      </c>
      <c r="AG14" s="95" t="s">
        <v>24</v>
      </c>
      <c r="AH14" s="95" t="s">
        <v>24</v>
      </c>
      <c r="AI14" s="98">
        <v>31</v>
      </c>
      <c r="AJ14" s="98">
        <f t="shared" si="0"/>
        <v>19</v>
      </c>
      <c r="AK14" s="98">
        <v>10</v>
      </c>
      <c r="AL14" s="98">
        <v>2</v>
      </c>
      <c r="AM14" s="98"/>
      <c r="AN14" s="98"/>
      <c r="AO14" s="98"/>
      <c r="AP14" s="98"/>
      <c r="AQ14" s="98"/>
      <c r="AR14" s="98"/>
      <c r="AS14" s="98"/>
      <c r="AT14" s="98">
        <f t="shared" si="1"/>
        <v>0</v>
      </c>
      <c r="AU14" s="99"/>
    </row>
    <row r="15" customFormat="1" ht="34" customHeight="1" spans="1:47">
      <c r="A15" s="92">
        <f t="shared" si="2"/>
        <v>12</v>
      </c>
      <c r="B15" s="93" t="s">
        <v>59</v>
      </c>
      <c r="C15" s="94" t="s">
        <v>56</v>
      </c>
      <c r="D15" s="95" t="s">
        <v>23</v>
      </c>
      <c r="E15" s="95" t="s">
        <v>23</v>
      </c>
      <c r="F15" s="95" t="s">
        <v>24</v>
      </c>
      <c r="G15" s="95" t="s">
        <v>24</v>
      </c>
      <c r="H15" s="95" t="s">
        <v>24</v>
      </c>
      <c r="I15" s="97" t="s">
        <v>26</v>
      </c>
      <c r="J15" s="97" t="s">
        <v>26</v>
      </c>
      <c r="K15" s="97" t="s">
        <v>26</v>
      </c>
      <c r="L15" s="97" t="s">
        <v>26</v>
      </c>
      <c r="M15" s="95" t="s">
        <v>24</v>
      </c>
      <c r="N15" s="97" t="s">
        <v>26</v>
      </c>
      <c r="O15" s="97" t="s">
        <v>26</v>
      </c>
      <c r="P15" s="97" t="s">
        <v>26</v>
      </c>
      <c r="Q15" s="97" t="s">
        <v>26</v>
      </c>
      <c r="R15" s="97" t="s">
        <v>26</v>
      </c>
      <c r="S15" s="95" t="s">
        <v>24</v>
      </c>
      <c r="T15" s="95" t="s">
        <v>24</v>
      </c>
      <c r="U15" s="97" t="s">
        <v>26</v>
      </c>
      <c r="V15" s="97" t="s">
        <v>26</v>
      </c>
      <c r="W15" s="97" t="s">
        <v>26</v>
      </c>
      <c r="X15" s="97" t="s">
        <v>26</v>
      </c>
      <c r="Y15" s="97" t="s">
        <v>26</v>
      </c>
      <c r="Z15" s="95" t="s">
        <v>24</v>
      </c>
      <c r="AA15" s="95" t="s">
        <v>24</v>
      </c>
      <c r="AB15" s="97" t="s">
        <v>26</v>
      </c>
      <c r="AC15" s="97" t="s">
        <v>26</v>
      </c>
      <c r="AD15" s="97" t="s">
        <v>26</v>
      </c>
      <c r="AE15" s="97" t="s">
        <v>26</v>
      </c>
      <c r="AF15" s="97" t="s">
        <v>26</v>
      </c>
      <c r="AG15" s="95" t="s">
        <v>24</v>
      </c>
      <c r="AH15" s="95" t="s">
        <v>24</v>
      </c>
      <c r="AI15" s="98">
        <v>31</v>
      </c>
      <c r="AJ15" s="98">
        <f t="shared" si="0"/>
        <v>19</v>
      </c>
      <c r="AK15" s="98">
        <v>10</v>
      </c>
      <c r="AL15" s="98">
        <v>2</v>
      </c>
      <c r="AM15" s="98"/>
      <c r="AN15" s="98"/>
      <c r="AO15" s="98"/>
      <c r="AP15" s="98"/>
      <c r="AQ15" s="98"/>
      <c r="AR15" s="98"/>
      <c r="AS15" s="98"/>
      <c r="AT15" s="98">
        <f t="shared" si="1"/>
        <v>0</v>
      </c>
      <c r="AU15" s="99"/>
    </row>
    <row r="16" customFormat="1" ht="34" customHeight="1" spans="1:47">
      <c r="A16" s="92">
        <f t="shared" si="2"/>
        <v>13</v>
      </c>
      <c r="B16" s="93" t="s">
        <v>61</v>
      </c>
      <c r="C16" s="94" t="s">
        <v>56</v>
      </c>
      <c r="D16" s="95" t="s">
        <v>23</v>
      </c>
      <c r="E16" s="95" t="s">
        <v>23</v>
      </c>
      <c r="F16" s="95" t="s">
        <v>24</v>
      </c>
      <c r="G16" s="95" t="s">
        <v>24</v>
      </c>
      <c r="H16" s="95" t="s">
        <v>24</v>
      </c>
      <c r="I16" s="97" t="s">
        <v>26</v>
      </c>
      <c r="J16" s="97" t="s">
        <v>26</v>
      </c>
      <c r="K16" s="97" t="s">
        <v>26</v>
      </c>
      <c r="L16" s="97" t="s">
        <v>26</v>
      </c>
      <c r="M16" s="95" t="s">
        <v>24</v>
      </c>
      <c r="N16" s="97" t="s">
        <v>26</v>
      </c>
      <c r="O16" s="97" t="s">
        <v>26</v>
      </c>
      <c r="P16" s="97" t="s">
        <v>26</v>
      </c>
      <c r="Q16" s="97" t="s">
        <v>26</v>
      </c>
      <c r="R16" s="97" t="s">
        <v>26</v>
      </c>
      <c r="S16" s="95" t="s">
        <v>24</v>
      </c>
      <c r="T16" s="95" t="s">
        <v>24</v>
      </c>
      <c r="U16" s="97" t="s">
        <v>26</v>
      </c>
      <c r="V16" s="97" t="s">
        <v>26</v>
      </c>
      <c r="W16" s="97" t="s">
        <v>26</v>
      </c>
      <c r="X16" s="97" t="s">
        <v>26</v>
      </c>
      <c r="Y16" s="97" t="s">
        <v>26</v>
      </c>
      <c r="Z16" s="95" t="s">
        <v>24</v>
      </c>
      <c r="AA16" s="95" t="s">
        <v>24</v>
      </c>
      <c r="AB16" s="97" t="s">
        <v>26</v>
      </c>
      <c r="AC16" s="97" t="s">
        <v>26</v>
      </c>
      <c r="AD16" s="97" t="s">
        <v>26</v>
      </c>
      <c r="AE16" s="97" t="s">
        <v>26</v>
      </c>
      <c r="AF16" s="97" t="s">
        <v>26</v>
      </c>
      <c r="AG16" s="95" t="s">
        <v>24</v>
      </c>
      <c r="AH16" s="95" t="s">
        <v>24</v>
      </c>
      <c r="AI16" s="98">
        <v>31</v>
      </c>
      <c r="AJ16" s="98">
        <f t="shared" si="0"/>
        <v>19</v>
      </c>
      <c r="AK16" s="98">
        <v>10</v>
      </c>
      <c r="AL16" s="98">
        <v>2</v>
      </c>
      <c r="AM16" s="98"/>
      <c r="AN16" s="98"/>
      <c r="AO16" s="98"/>
      <c r="AP16" s="98"/>
      <c r="AQ16" s="98"/>
      <c r="AR16" s="98"/>
      <c r="AS16" s="98"/>
      <c r="AT16" s="98">
        <f t="shared" si="1"/>
        <v>0</v>
      </c>
      <c r="AU16" s="99"/>
    </row>
    <row r="17" customFormat="1" ht="34" customHeight="1" spans="1:48">
      <c r="A17" s="92">
        <f t="shared" si="2"/>
        <v>14</v>
      </c>
      <c r="B17" s="93" t="s">
        <v>308</v>
      </c>
      <c r="C17" s="94" t="s">
        <v>56</v>
      </c>
      <c r="D17" s="95" t="s">
        <v>23</v>
      </c>
      <c r="E17" s="95" t="s">
        <v>23</v>
      </c>
      <c r="F17" s="95" t="s">
        <v>24</v>
      </c>
      <c r="G17" s="95" t="s">
        <v>24</v>
      </c>
      <c r="H17" s="95" t="s">
        <v>24</v>
      </c>
      <c r="I17" s="97" t="s">
        <v>26</v>
      </c>
      <c r="J17" s="97" t="s">
        <v>26</v>
      </c>
      <c r="K17" s="97" t="s">
        <v>26</v>
      </c>
      <c r="L17" s="97" t="s">
        <v>26</v>
      </c>
      <c r="M17" s="95" t="s">
        <v>24</v>
      </c>
      <c r="N17" s="97" t="s">
        <v>26</v>
      </c>
      <c r="O17" s="97" t="s">
        <v>26</v>
      </c>
      <c r="P17" s="97" t="s">
        <v>26</v>
      </c>
      <c r="Q17" s="97" t="s">
        <v>26</v>
      </c>
      <c r="R17" s="97" t="s">
        <v>26</v>
      </c>
      <c r="S17" s="95" t="s">
        <v>24</v>
      </c>
      <c r="T17" s="95" t="s">
        <v>24</v>
      </c>
      <c r="U17" s="97" t="s">
        <v>26</v>
      </c>
      <c r="V17" s="97" t="s">
        <v>26</v>
      </c>
      <c r="W17" s="97" t="s">
        <v>26</v>
      </c>
      <c r="X17" s="97" t="s">
        <v>26</v>
      </c>
      <c r="Y17" s="97" t="s">
        <v>26</v>
      </c>
      <c r="Z17" s="95" t="s">
        <v>24</v>
      </c>
      <c r="AA17" s="95" t="s">
        <v>24</v>
      </c>
      <c r="AB17" s="97" t="s">
        <v>26</v>
      </c>
      <c r="AC17" s="97" t="s">
        <v>26</v>
      </c>
      <c r="AD17" s="97" t="s">
        <v>26</v>
      </c>
      <c r="AE17" s="97" t="s">
        <v>26</v>
      </c>
      <c r="AF17" s="97" t="s">
        <v>26</v>
      </c>
      <c r="AG17" s="95" t="s">
        <v>24</v>
      </c>
      <c r="AH17" s="95" t="s">
        <v>24</v>
      </c>
      <c r="AI17" s="98">
        <v>31</v>
      </c>
      <c r="AJ17" s="98">
        <f t="shared" si="0"/>
        <v>19</v>
      </c>
      <c r="AK17" s="98">
        <v>10</v>
      </c>
      <c r="AL17" s="98">
        <v>2</v>
      </c>
      <c r="AM17" s="98"/>
      <c r="AN17" s="98"/>
      <c r="AO17" s="98"/>
      <c r="AP17" s="98"/>
      <c r="AQ17" s="98"/>
      <c r="AR17" s="98"/>
      <c r="AS17" s="98"/>
      <c r="AT17" s="98">
        <f t="shared" si="1"/>
        <v>0</v>
      </c>
      <c r="AU17" s="99"/>
    </row>
    <row r="18" ht="34" customHeight="1" spans="1:48">
      <c r="A18" s="92">
        <f t="shared" si="2"/>
        <v>15</v>
      </c>
      <c r="B18" s="93" t="s">
        <v>62</v>
      </c>
      <c r="C18" s="94" t="s">
        <v>63</v>
      </c>
      <c r="D18" s="95" t="s">
        <v>23</v>
      </c>
      <c r="E18" s="95" t="s">
        <v>23</v>
      </c>
      <c r="F18" s="95" t="s">
        <v>24</v>
      </c>
      <c r="G18" s="95" t="s">
        <v>24</v>
      </c>
      <c r="H18" s="95" t="s">
        <v>24</v>
      </c>
      <c r="I18" s="97" t="s">
        <v>26</v>
      </c>
      <c r="J18" s="97" t="s">
        <v>26</v>
      </c>
      <c r="K18" s="97" t="s">
        <v>26</v>
      </c>
      <c r="L18" s="97" t="s">
        <v>26</v>
      </c>
      <c r="M18" s="95" t="s">
        <v>24</v>
      </c>
      <c r="N18" s="97" t="s">
        <v>26</v>
      </c>
      <c r="O18" s="97" t="s">
        <v>26</v>
      </c>
      <c r="P18" s="97" t="s">
        <v>26</v>
      </c>
      <c r="Q18" s="97" t="s">
        <v>26</v>
      </c>
      <c r="R18" s="97" t="s">
        <v>26</v>
      </c>
      <c r="S18" s="95" t="s">
        <v>24</v>
      </c>
      <c r="T18" s="95" t="s">
        <v>24</v>
      </c>
      <c r="U18" s="97" t="s">
        <v>26</v>
      </c>
      <c r="V18" s="97" t="s">
        <v>26</v>
      </c>
      <c r="W18" s="97" t="s">
        <v>26</v>
      </c>
      <c r="X18" s="97" t="s">
        <v>26</v>
      </c>
      <c r="Y18" s="97" t="s">
        <v>26</v>
      </c>
      <c r="Z18" s="95" t="s">
        <v>24</v>
      </c>
      <c r="AA18" s="95" t="s">
        <v>24</v>
      </c>
      <c r="AB18" s="97" t="s">
        <v>26</v>
      </c>
      <c r="AC18" s="97" t="s">
        <v>26</v>
      </c>
      <c r="AD18" s="97" t="s">
        <v>26</v>
      </c>
      <c r="AE18" s="97" t="s">
        <v>26</v>
      </c>
      <c r="AF18" s="97" t="s">
        <v>26</v>
      </c>
      <c r="AG18" s="95" t="s">
        <v>24</v>
      </c>
      <c r="AH18" s="95" t="s">
        <v>24</v>
      </c>
      <c r="AI18" s="98">
        <v>31</v>
      </c>
      <c r="AJ18" s="98">
        <f t="shared" si="0"/>
        <v>19</v>
      </c>
      <c r="AK18" s="98">
        <v>10</v>
      </c>
      <c r="AL18" s="98">
        <v>2</v>
      </c>
      <c r="AM18" s="98"/>
      <c r="AN18" s="98"/>
      <c r="AO18" s="98"/>
      <c r="AP18" s="98"/>
      <c r="AQ18" s="98"/>
      <c r="AR18" s="98"/>
      <c r="AS18" s="98"/>
      <c r="AT18" s="98">
        <f t="shared" si="1"/>
        <v>0</v>
      </c>
      <c r="AU18" s="99"/>
    </row>
    <row r="19" ht="34" customHeight="1" spans="1:48">
      <c r="A19" s="92">
        <f t="shared" si="2"/>
        <v>16</v>
      </c>
      <c r="B19" s="93" t="s">
        <v>64</v>
      </c>
      <c r="C19" s="94" t="s">
        <v>63</v>
      </c>
      <c r="D19" s="95" t="s">
        <v>23</v>
      </c>
      <c r="E19" s="95" t="s">
        <v>23</v>
      </c>
      <c r="F19" s="95" t="s">
        <v>24</v>
      </c>
      <c r="G19" s="95" t="s">
        <v>24</v>
      </c>
      <c r="H19" s="95" t="s">
        <v>24</v>
      </c>
      <c r="I19" s="97" t="s">
        <v>26</v>
      </c>
      <c r="J19" s="97" t="s">
        <v>26</v>
      </c>
      <c r="K19" s="97" t="s">
        <v>26</v>
      </c>
      <c r="L19" s="97" t="s">
        <v>26</v>
      </c>
      <c r="M19" s="95" t="s">
        <v>24</v>
      </c>
      <c r="N19" s="97" t="s">
        <v>26</v>
      </c>
      <c r="O19" s="97" t="s">
        <v>26</v>
      </c>
      <c r="P19" s="97" t="s">
        <v>26</v>
      </c>
      <c r="Q19" s="97" t="s">
        <v>26</v>
      </c>
      <c r="R19" s="97" t="s">
        <v>26</v>
      </c>
      <c r="S19" s="95" t="s">
        <v>24</v>
      </c>
      <c r="T19" s="95" t="s">
        <v>24</v>
      </c>
      <c r="U19" s="97" t="s">
        <v>26</v>
      </c>
      <c r="V19" s="97" t="s">
        <v>26</v>
      </c>
      <c r="W19" s="97" t="s">
        <v>26</v>
      </c>
      <c r="X19" s="97" t="s">
        <v>26</v>
      </c>
      <c r="Y19" s="97" t="s">
        <v>26</v>
      </c>
      <c r="Z19" s="95" t="s">
        <v>24</v>
      </c>
      <c r="AA19" s="95" t="s">
        <v>24</v>
      </c>
      <c r="AB19" s="97" t="s">
        <v>26</v>
      </c>
      <c r="AC19" s="97" t="s">
        <v>26</v>
      </c>
      <c r="AD19" s="97" t="s">
        <v>26</v>
      </c>
      <c r="AE19" s="97" t="s">
        <v>26</v>
      </c>
      <c r="AF19" s="97" t="s">
        <v>26</v>
      </c>
      <c r="AG19" s="95" t="s">
        <v>24</v>
      </c>
      <c r="AH19" s="95" t="s">
        <v>24</v>
      </c>
      <c r="AI19" s="98">
        <v>31</v>
      </c>
      <c r="AJ19" s="98">
        <f t="shared" si="0"/>
        <v>19</v>
      </c>
      <c r="AK19" s="98">
        <v>10</v>
      </c>
      <c r="AL19" s="98">
        <v>2</v>
      </c>
      <c r="AM19" s="98"/>
      <c r="AN19" s="98"/>
      <c r="AO19" s="98"/>
      <c r="AP19" s="98"/>
      <c r="AQ19" s="98"/>
      <c r="AR19" s="98"/>
      <c r="AS19" s="98"/>
      <c r="AT19" s="98">
        <f t="shared" si="1"/>
        <v>0</v>
      </c>
      <c r="AU19" s="99"/>
    </row>
    <row r="20" ht="34" customHeight="1" spans="1:48">
      <c r="A20" s="92">
        <f t="shared" si="2"/>
        <v>17</v>
      </c>
      <c r="B20" s="93" t="s">
        <v>65</v>
      </c>
      <c r="C20" s="94" t="s">
        <v>66</v>
      </c>
      <c r="D20" s="95" t="s">
        <v>23</v>
      </c>
      <c r="E20" s="95" t="s">
        <v>23</v>
      </c>
      <c r="F20" s="95" t="s">
        <v>24</v>
      </c>
      <c r="G20" s="95" t="s">
        <v>24</v>
      </c>
      <c r="H20" s="95" t="s">
        <v>24</v>
      </c>
      <c r="I20" s="103" t="s">
        <v>309</v>
      </c>
      <c r="J20" s="97" t="s">
        <v>26</v>
      </c>
      <c r="K20" s="97" t="s">
        <v>26</v>
      </c>
      <c r="L20" s="97" t="s">
        <v>26</v>
      </c>
      <c r="M20" s="95" t="s">
        <v>24</v>
      </c>
      <c r="N20" s="97" t="s">
        <v>26</v>
      </c>
      <c r="O20" s="97" t="s">
        <v>26</v>
      </c>
      <c r="P20" s="97" t="s">
        <v>26</v>
      </c>
      <c r="Q20" s="97" t="s">
        <v>26</v>
      </c>
      <c r="R20" s="97" t="s">
        <v>26</v>
      </c>
      <c r="S20" s="95" t="s">
        <v>24</v>
      </c>
      <c r="T20" s="95" t="s">
        <v>24</v>
      </c>
      <c r="U20" s="97" t="s">
        <v>26</v>
      </c>
      <c r="V20" s="97" t="s">
        <v>26</v>
      </c>
      <c r="W20" s="97" t="s">
        <v>26</v>
      </c>
      <c r="X20" s="97" t="s">
        <v>26</v>
      </c>
      <c r="Y20" s="97" t="s">
        <v>26</v>
      </c>
      <c r="Z20" s="95" t="s">
        <v>24</v>
      </c>
      <c r="AA20" s="95" t="s">
        <v>24</v>
      </c>
      <c r="AB20" s="97" t="s">
        <v>26</v>
      </c>
      <c r="AC20" s="97" t="s">
        <v>26</v>
      </c>
      <c r="AD20" s="97" t="s">
        <v>26</v>
      </c>
      <c r="AE20" s="97" t="s">
        <v>26</v>
      </c>
      <c r="AF20" s="97" t="s">
        <v>26</v>
      </c>
      <c r="AG20" s="95" t="s">
        <v>24</v>
      </c>
      <c r="AH20" s="95" t="s">
        <v>24</v>
      </c>
      <c r="AI20" s="98">
        <v>31</v>
      </c>
      <c r="AJ20" s="98">
        <f t="shared" si="0"/>
        <v>18</v>
      </c>
      <c r="AK20" s="98">
        <v>10</v>
      </c>
      <c r="AL20" s="98">
        <v>2</v>
      </c>
      <c r="AM20" s="98">
        <v>1</v>
      </c>
      <c r="AN20" s="98">
        <v>1</v>
      </c>
      <c r="AO20" s="98"/>
      <c r="AP20" s="98"/>
      <c r="AQ20" s="98"/>
      <c r="AR20" s="98"/>
      <c r="AS20" s="98"/>
      <c r="AT20" s="98">
        <f t="shared" si="1"/>
        <v>0</v>
      </c>
      <c r="AU20" s="99" t="s">
        <v>310</v>
      </c>
    </row>
    <row r="21" ht="34" customHeight="1" spans="1:48">
      <c r="A21" s="92">
        <f t="shared" si="2"/>
        <v>18</v>
      </c>
      <c r="B21" s="93" t="s">
        <v>67</v>
      </c>
      <c r="C21" s="94" t="s">
        <v>66</v>
      </c>
      <c r="D21" s="95" t="s">
        <v>23</v>
      </c>
      <c r="E21" s="95" t="s">
        <v>23</v>
      </c>
      <c r="F21" s="95" t="s">
        <v>24</v>
      </c>
      <c r="G21" s="95" t="s">
        <v>24</v>
      </c>
      <c r="H21" s="95" t="s">
        <v>24</v>
      </c>
      <c r="I21" s="97" t="s">
        <v>26</v>
      </c>
      <c r="J21" s="97" t="s">
        <v>26</v>
      </c>
      <c r="K21" s="97" t="s">
        <v>26</v>
      </c>
      <c r="L21" s="97" t="s">
        <v>26</v>
      </c>
      <c r="M21" s="95" t="s">
        <v>24</v>
      </c>
      <c r="N21" s="97" t="s">
        <v>26</v>
      </c>
      <c r="O21" s="97" t="s">
        <v>26</v>
      </c>
      <c r="P21" s="97" t="s">
        <v>26</v>
      </c>
      <c r="Q21" s="97" t="s">
        <v>26</v>
      </c>
      <c r="R21" s="97" t="s">
        <v>26</v>
      </c>
      <c r="S21" s="95" t="s">
        <v>24</v>
      </c>
      <c r="T21" s="95" t="s">
        <v>24</v>
      </c>
      <c r="U21" s="97" t="s">
        <v>26</v>
      </c>
      <c r="V21" s="97" t="s">
        <v>26</v>
      </c>
      <c r="W21" s="97" t="s">
        <v>26</v>
      </c>
      <c r="X21" s="97" t="s">
        <v>26</v>
      </c>
      <c r="Y21" s="97" t="s">
        <v>26</v>
      </c>
      <c r="Z21" s="95" t="s">
        <v>24</v>
      </c>
      <c r="AA21" s="95" t="s">
        <v>24</v>
      </c>
      <c r="AB21" s="97" t="s">
        <v>26</v>
      </c>
      <c r="AC21" s="97" t="s">
        <v>26</v>
      </c>
      <c r="AD21" s="97" t="s">
        <v>26</v>
      </c>
      <c r="AE21" s="97" t="s">
        <v>26</v>
      </c>
      <c r="AF21" s="97" t="s">
        <v>26</v>
      </c>
      <c r="AG21" s="95" t="s">
        <v>24</v>
      </c>
      <c r="AH21" s="95" t="s">
        <v>24</v>
      </c>
      <c r="AI21" s="98">
        <v>31</v>
      </c>
      <c r="AJ21" s="98">
        <f t="shared" si="0"/>
        <v>19</v>
      </c>
      <c r="AK21" s="98">
        <v>10</v>
      </c>
      <c r="AL21" s="98">
        <v>2</v>
      </c>
      <c r="AM21" s="98"/>
      <c r="AN21" s="98"/>
      <c r="AO21" s="98"/>
      <c r="AP21" s="98"/>
      <c r="AQ21" s="98"/>
      <c r="AR21" s="98"/>
      <c r="AS21" s="98"/>
      <c r="AT21" s="98">
        <f t="shared" si="1"/>
        <v>0</v>
      </c>
      <c r="AU21" s="99"/>
    </row>
    <row r="22" customFormat="1" ht="34" customHeight="1" spans="1:48">
      <c r="A22" s="92">
        <f t="shared" si="2"/>
        <v>19</v>
      </c>
      <c r="B22" s="93" t="s">
        <v>68</v>
      </c>
      <c r="C22" s="94" t="s">
        <v>66</v>
      </c>
      <c r="D22" s="95" t="s">
        <v>23</v>
      </c>
      <c r="E22" s="95" t="s">
        <v>23</v>
      </c>
      <c r="F22" s="95" t="s">
        <v>24</v>
      </c>
      <c r="G22" s="95" t="s">
        <v>24</v>
      </c>
      <c r="H22" s="95" t="s">
        <v>24</v>
      </c>
      <c r="I22" s="97" t="s">
        <v>26</v>
      </c>
      <c r="J22" s="97" t="s">
        <v>26</v>
      </c>
      <c r="K22" s="97" t="s">
        <v>26</v>
      </c>
      <c r="L22" s="97" t="s">
        <v>26</v>
      </c>
      <c r="M22" s="95" t="s">
        <v>24</v>
      </c>
      <c r="N22" s="97" t="s">
        <v>26</v>
      </c>
      <c r="O22" s="97" t="s">
        <v>26</v>
      </c>
      <c r="P22" s="97" t="s">
        <v>26</v>
      </c>
      <c r="Q22" s="97" t="s">
        <v>26</v>
      </c>
      <c r="R22" s="97" t="s">
        <v>26</v>
      </c>
      <c r="S22" s="95" t="s">
        <v>24</v>
      </c>
      <c r="T22" s="95" t="s">
        <v>24</v>
      </c>
      <c r="U22" s="97" t="s">
        <v>26</v>
      </c>
      <c r="V22" s="97" t="s">
        <v>26</v>
      </c>
      <c r="W22" s="97" t="s">
        <v>26</v>
      </c>
      <c r="X22" s="97" t="s">
        <v>26</v>
      </c>
      <c r="Y22" s="97" t="s">
        <v>26</v>
      </c>
      <c r="Z22" s="95" t="s">
        <v>24</v>
      </c>
      <c r="AA22" s="95" t="s">
        <v>24</v>
      </c>
      <c r="AB22" s="97" t="s">
        <v>26</v>
      </c>
      <c r="AC22" s="97" t="s">
        <v>26</v>
      </c>
      <c r="AD22" s="97" t="s">
        <v>26</v>
      </c>
      <c r="AE22" s="97" t="s">
        <v>26</v>
      </c>
      <c r="AF22" s="96" t="s">
        <v>311</v>
      </c>
      <c r="AG22" s="95" t="s">
        <v>24</v>
      </c>
      <c r="AH22" s="95" t="s">
        <v>24</v>
      </c>
      <c r="AI22" s="98">
        <v>31</v>
      </c>
      <c r="AJ22" s="98">
        <f t="shared" si="0"/>
        <v>18.44</v>
      </c>
      <c r="AK22" s="98">
        <v>10</v>
      </c>
      <c r="AL22" s="98">
        <v>2</v>
      </c>
      <c r="AM22" s="98">
        <v>0.56</v>
      </c>
      <c r="AN22" s="98"/>
      <c r="AO22" s="98">
        <v>0.56</v>
      </c>
      <c r="AP22" s="98"/>
      <c r="AQ22" s="98"/>
      <c r="AR22" s="98"/>
      <c r="AS22" s="98"/>
      <c r="AT22" s="98">
        <f t="shared" si="1"/>
        <v>0</v>
      </c>
      <c r="AU22" s="99" t="s">
        <v>312</v>
      </c>
    </row>
    <row r="23" ht="34" customHeight="1" spans="1:48">
      <c r="A23" s="92">
        <f t="shared" si="2"/>
        <v>20</v>
      </c>
      <c r="B23" s="93" t="s">
        <v>69</v>
      </c>
      <c r="C23" s="94" t="s">
        <v>66</v>
      </c>
      <c r="D23" s="95" t="s">
        <v>23</v>
      </c>
      <c r="E23" s="95" t="s">
        <v>23</v>
      </c>
      <c r="F23" s="95" t="s">
        <v>24</v>
      </c>
      <c r="G23" s="95" t="s">
        <v>24</v>
      </c>
      <c r="H23" s="95" t="s">
        <v>24</v>
      </c>
      <c r="I23" s="97" t="s">
        <v>26</v>
      </c>
      <c r="J23" s="97" t="s">
        <v>26</v>
      </c>
      <c r="K23" s="97" t="s">
        <v>26</v>
      </c>
      <c r="L23" s="97" t="s">
        <v>26</v>
      </c>
      <c r="M23" s="95" t="s">
        <v>24</v>
      </c>
      <c r="N23" s="97" t="s">
        <v>26</v>
      </c>
      <c r="O23" s="97" t="s">
        <v>26</v>
      </c>
      <c r="P23" s="97" t="s">
        <v>26</v>
      </c>
      <c r="Q23" s="97" t="s">
        <v>26</v>
      </c>
      <c r="R23" s="97" t="s">
        <v>26</v>
      </c>
      <c r="S23" s="95" t="s">
        <v>24</v>
      </c>
      <c r="T23" s="95" t="s">
        <v>24</v>
      </c>
      <c r="U23" s="97" t="s">
        <v>26</v>
      </c>
      <c r="V23" s="97" t="s">
        <v>26</v>
      </c>
      <c r="W23" s="97" t="s">
        <v>26</v>
      </c>
      <c r="X23" s="97" t="s">
        <v>26</v>
      </c>
      <c r="Y23" s="97" t="s">
        <v>26</v>
      </c>
      <c r="Z23" s="95" t="s">
        <v>24</v>
      </c>
      <c r="AA23" s="95" t="s">
        <v>24</v>
      </c>
      <c r="AB23" s="97" t="s">
        <v>26</v>
      </c>
      <c r="AC23" s="97" t="s">
        <v>26</v>
      </c>
      <c r="AD23" s="97" t="s">
        <v>26</v>
      </c>
      <c r="AE23" s="97" t="s">
        <v>26</v>
      </c>
      <c r="AF23" s="97" t="s">
        <v>26</v>
      </c>
      <c r="AG23" s="95" t="s">
        <v>24</v>
      </c>
      <c r="AH23" s="95" t="s">
        <v>24</v>
      </c>
      <c r="AI23" s="98">
        <v>31</v>
      </c>
      <c r="AJ23" s="98">
        <f t="shared" si="0"/>
        <v>19</v>
      </c>
      <c r="AK23" s="98">
        <v>10</v>
      </c>
      <c r="AL23" s="98">
        <v>2</v>
      </c>
      <c r="AM23" s="98"/>
      <c r="AN23" s="98"/>
      <c r="AO23" s="98"/>
      <c r="AP23" s="98"/>
      <c r="AQ23" s="98"/>
      <c r="AR23" s="98"/>
      <c r="AS23" s="98"/>
      <c r="AT23" s="98">
        <f t="shared" si="1"/>
        <v>0</v>
      </c>
      <c r="AU23" s="99"/>
    </row>
    <row r="24" customFormat="1" ht="34" customHeight="1" spans="1:48">
      <c r="A24" s="92">
        <f t="shared" si="2"/>
        <v>21</v>
      </c>
      <c r="B24" s="93" t="s">
        <v>104</v>
      </c>
      <c r="C24" s="94" t="s">
        <v>66</v>
      </c>
      <c r="D24" s="95" t="s">
        <v>23</v>
      </c>
      <c r="E24" s="95" t="s">
        <v>23</v>
      </c>
      <c r="F24" s="95" t="s">
        <v>24</v>
      </c>
      <c r="G24" s="95" t="s">
        <v>24</v>
      </c>
      <c r="H24" s="95" t="s">
        <v>24</v>
      </c>
      <c r="I24" s="97" t="s">
        <v>26</v>
      </c>
      <c r="J24" s="97" t="s">
        <v>26</v>
      </c>
      <c r="K24" s="97" t="s">
        <v>26</v>
      </c>
      <c r="L24" s="97" t="s">
        <v>26</v>
      </c>
      <c r="M24" s="95" t="s">
        <v>24</v>
      </c>
      <c r="N24" s="97" t="s">
        <v>26</v>
      </c>
      <c r="O24" s="97" t="s">
        <v>26</v>
      </c>
      <c r="P24" s="97" t="s">
        <v>26</v>
      </c>
      <c r="Q24" s="97" t="s">
        <v>26</v>
      </c>
      <c r="R24" s="100" t="s">
        <v>313</v>
      </c>
      <c r="S24" s="95" t="s">
        <v>24</v>
      </c>
      <c r="T24" s="95" t="s">
        <v>24</v>
      </c>
      <c r="U24" s="100" t="s">
        <v>25</v>
      </c>
      <c r="V24" s="100" t="s">
        <v>25</v>
      </c>
      <c r="W24" s="100" t="s">
        <v>25</v>
      </c>
      <c r="X24" s="100" t="s">
        <v>25</v>
      </c>
      <c r="Y24" s="100" t="s">
        <v>25</v>
      </c>
      <c r="Z24" s="95" t="s">
        <v>24</v>
      </c>
      <c r="AA24" s="95" t="s">
        <v>24</v>
      </c>
      <c r="AB24" s="100" t="s">
        <v>25</v>
      </c>
      <c r="AC24" s="100" t="s">
        <v>25</v>
      </c>
      <c r="AD24" s="100" t="s">
        <v>25</v>
      </c>
      <c r="AE24" s="100" t="s">
        <v>25</v>
      </c>
      <c r="AF24" s="100" t="s">
        <v>25</v>
      </c>
      <c r="AG24" s="95" t="s">
        <v>24</v>
      </c>
      <c r="AH24" s="95" t="s">
        <v>24</v>
      </c>
      <c r="AI24" s="98">
        <v>31</v>
      </c>
      <c r="AJ24" s="98">
        <f t="shared" si="0"/>
        <v>8.5</v>
      </c>
      <c r="AK24" s="98">
        <v>10</v>
      </c>
      <c r="AL24" s="98">
        <v>2</v>
      </c>
      <c r="AM24" s="98">
        <v>10.5</v>
      </c>
      <c r="AN24" s="98"/>
      <c r="AO24" s="98"/>
      <c r="AP24" s="98"/>
      <c r="AQ24" s="98"/>
      <c r="AR24" s="98"/>
      <c r="AS24" s="98"/>
      <c r="AT24" s="98">
        <f t="shared" si="1"/>
        <v>10.5</v>
      </c>
      <c r="AU24" s="99"/>
      <c r="AV24" s="104"/>
    </row>
    <row r="25" customFormat="1" ht="34" customHeight="1" spans="1:48">
      <c r="A25" s="92">
        <f t="shared" si="2"/>
        <v>22</v>
      </c>
      <c r="B25" s="93" t="s">
        <v>74</v>
      </c>
      <c r="C25" s="94" t="s">
        <v>66</v>
      </c>
      <c r="D25" s="95" t="s">
        <v>23</v>
      </c>
      <c r="E25" s="95" t="s">
        <v>23</v>
      </c>
      <c r="F25" s="95" t="s">
        <v>24</v>
      </c>
      <c r="G25" s="95" t="s">
        <v>24</v>
      </c>
      <c r="H25" s="95" t="s">
        <v>24</v>
      </c>
      <c r="I25" s="97" t="s">
        <v>26</v>
      </c>
      <c r="J25" s="97" t="s">
        <v>26</v>
      </c>
      <c r="K25" s="97" t="s">
        <v>26</v>
      </c>
      <c r="L25" s="97" t="s">
        <v>26</v>
      </c>
      <c r="M25" s="95" t="s">
        <v>24</v>
      </c>
      <c r="N25" s="97" t="s">
        <v>26</v>
      </c>
      <c r="O25" s="97" t="s">
        <v>26</v>
      </c>
      <c r="P25" s="97" t="s">
        <v>26</v>
      </c>
      <c r="Q25" s="97" t="s">
        <v>26</v>
      </c>
      <c r="R25" s="97" t="s">
        <v>26</v>
      </c>
      <c r="S25" s="95" t="s">
        <v>24</v>
      </c>
      <c r="T25" s="95" t="s">
        <v>24</v>
      </c>
      <c r="U25" s="97" t="s">
        <v>26</v>
      </c>
      <c r="V25" s="97" t="s">
        <v>26</v>
      </c>
      <c r="W25" s="97" t="s">
        <v>26</v>
      </c>
      <c r="X25" s="97" t="s">
        <v>26</v>
      </c>
      <c r="Y25" s="97" t="s">
        <v>26</v>
      </c>
      <c r="Z25" s="95" t="s">
        <v>24</v>
      </c>
      <c r="AA25" s="95" t="s">
        <v>24</v>
      </c>
      <c r="AB25" s="97" t="s">
        <v>26</v>
      </c>
      <c r="AC25" s="97" t="s">
        <v>26</v>
      </c>
      <c r="AD25" s="97" t="s">
        <v>26</v>
      </c>
      <c r="AE25" s="97" t="s">
        <v>26</v>
      </c>
      <c r="AF25" s="97" t="s">
        <v>26</v>
      </c>
      <c r="AG25" s="95" t="s">
        <v>24</v>
      </c>
      <c r="AH25" s="95" t="s">
        <v>24</v>
      </c>
      <c r="AI25" s="98">
        <v>31</v>
      </c>
      <c r="AJ25" s="98">
        <f t="shared" si="0"/>
        <v>19</v>
      </c>
      <c r="AK25" s="98">
        <v>10</v>
      </c>
      <c r="AL25" s="98">
        <v>2</v>
      </c>
      <c r="AM25" s="98"/>
      <c r="AN25" s="98"/>
      <c r="AO25" s="98"/>
      <c r="AP25" s="98"/>
      <c r="AQ25" s="98"/>
      <c r="AR25" s="98"/>
      <c r="AS25" s="98"/>
      <c r="AT25" s="98">
        <f t="shared" si="1"/>
        <v>0</v>
      </c>
      <c r="AU25" s="99"/>
    </row>
    <row r="26" customFormat="1" ht="34" customHeight="1" spans="1:48">
      <c r="A26" s="92">
        <f t="shared" si="2"/>
        <v>23</v>
      </c>
      <c r="B26" s="101" t="s">
        <v>314</v>
      </c>
      <c r="C26" s="94" t="s">
        <v>66</v>
      </c>
      <c r="D26" s="102" t="s">
        <v>34</v>
      </c>
      <c r="E26" s="102" t="s">
        <v>34</v>
      </c>
      <c r="F26" s="102" t="s">
        <v>34</v>
      </c>
      <c r="G26" s="102" t="s">
        <v>34</v>
      </c>
      <c r="H26" s="102" t="s">
        <v>34</v>
      </c>
      <c r="I26" s="102" t="s">
        <v>34</v>
      </c>
      <c r="J26" s="102" t="s">
        <v>34</v>
      </c>
      <c r="K26" s="102" t="s">
        <v>34</v>
      </c>
      <c r="L26" s="102" t="s">
        <v>34</v>
      </c>
      <c r="M26" s="102" t="s">
        <v>34</v>
      </c>
      <c r="N26" s="97" t="s">
        <v>26</v>
      </c>
      <c r="O26" s="102" t="s">
        <v>34</v>
      </c>
      <c r="P26" s="102" t="s">
        <v>34</v>
      </c>
      <c r="Q26" s="102" t="s">
        <v>34</v>
      </c>
      <c r="R26" s="102" t="s">
        <v>34</v>
      </c>
      <c r="S26" s="102" t="s">
        <v>34</v>
      </c>
      <c r="T26" s="102" t="s">
        <v>34</v>
      </c>
      <c r="U26" s="102" t="s">
        <v>34</v>
      </c>
      <c r="V26" s="102" t="s">
        <v>34</v>
      </c>
      <c r="W26" s="102" t="s">
        <v>34</v>
      </c>
      <c r="X26" s="102" t="s">
        <v>34</v>
      </c>
      <c r="Y26" s="102" t="s">
        <v>34</v>
      </c>
      <c r="Z26" s="102" t="s">
        <v>34</v>
      </c>
      <c r="AA26" s="102" t="s">
        <v>34</v>
      </c>
      <c r="AB26" s="102" t="s">
        <v>34</v>
      </c>
      <c r="AC26" s="102" t="s">
        <v>34</v>
      </c>
      <c r="AD26" s="102" t="s">
        <v>34</v>
      </c>
      <c r="AE26" s="102" t="s">
        <v>34</v>
      </c>
      <c r="AF26" s="102" t="s">
        <v>34</v>
      </c>
      <c r="AG26" s="102" t="s">
        <v>34</v>
      </c>
      <c r="AH26" s="102" t="s">
        <v>34</v>
      </c>
      <c r="AI26" s="98">
        <v>31</v>
      </c>
      <c r="AJ26" s="98">
        <f t="shared" si="0"/>
        <v>1</v>
      </c>
      <c r="AK26" s="98">
        <v>10</v>
      </c>
      <c r="AL26" s="98">
        <v>0</v>
      </c>
      <c r="AM26" s="98">
        <v>20</v>
      </c>
      <c r="AN26" s="98"/>
      <c r="AO26" s="98"/>
      <c r="AP26" s="98"/>
      <c r="AQ26" s="98"/>
      <c r="AR26" s="98"/>
      <c r="AS26" s="98"/>
      <c r="AT26" s="98">
        <f t="shared" si="1"/>
        <v>20</v>
      </c>
      <c r="AU26" s="105" t="s">
        <v>315</v>
      </c>
    </row>
    <row r="27" customFormat="1" ht="34" customHeight="1" spans="1:48">
      <c r="A27" s="92">
        <f t="shared" si="2"/>
        <v>24</v>
      </c>
      <c r="B27" s="101" t="s">
        <v>316</v>
      </c>
      <c r="C27" s="94" t="s">
        <v>66</v>
      </c>
      <c r="D27" s="102" t="s">
        <v>34</v>
      </c>
      <c r="E27" s="102" t="s">
        <v>34</v>
      </c>
      <c r="F27" s="102" t="s">
        <v>34</v>
      </c>
      <c r="G27" s="102" t="s">
        <v>34</v>
      </c>
      <c r="H27" s="102" t="s">
        <v>34</v>
      </c>
      <c r="I27" s="102" t="s">
        <v>34</v>
      </c>
      <c r="J27" s="102" t="s">
        <v>34</v>
      </c>
      <c r="K27" s="97" t="s">
        <v>26</v>
      </c>
      <c r="L27" s="97" t="s">
        <v>26</v>
      </c>
      <c r="M27" s="95" t="s">
        <v>24</v>
      </c>
      <c r="N27" s="97" t="s">
        <v>26</v>
      </c>
      <c r="O27" s="97" t="s">
        <v>26</v>
      </c>
      <c r="P27" s="97" t="s">
        <v>26</v>
      </c>
      <c r="Q27" s="97" t="s">
        <v>26</v>
      </c>
      <c r="R27" s="97" t="s">
        <v>26</v>
      </c>
      <c r="S27" s="95" t="s">
        <v>24</v>
      </c>
      <c r="T27" s="95" t="s">
        <v>24</v>
      </c>
      <c r="U27" s="97" t="s">
        <v>26</v>
      </c>
      <c r="V27" s="97" t="s">
        <v>26</v>
      </c>
      <c r="W27" s="97" t="s">
        <v>26</v>
      </c>
      <c r="X27" s="97" t="s">
        <v>26</v>
      </c>
      <c r="Y27" s="97" t="s">
        <v>26</v>
      </c>
      <c r="Z27" s="95" t="s">
        <v>24</v>
      </c>
      <c r="AA27" s="95" t="s">
        <v>24</v>
      </c>
      <c r="AB27" s="97" t="s">
        <v>26</v>
      </c>
      <c r="AC27" s="97" t="s">
        <v>26</v>
      </c>
      <c r="AD27" s="97" t="s">
        <v>26</v>
      </c>
      <c r="AE27" s="97" t="s">
        <v>26</v>
      </c>
      <c r="AF27" s="97" t="s">
        <v>26</v>
      </c>
      <c r="AG27" s="95" t="s">
        <v>24</v>
      </c>
      <c r="AH27" s="95" t="s">
        <v>24</v>
      </c>
      <c r="AI27" s="98">
        <v>31</v>
      </c>
      <c r="AJ27" s="98">
        <f t="shared" si="0"/>
        <v>17</v>
      </c>
      <c r="AK27" s="98">
        <v>10</v>
      </c>
      <c r="AL27" s="98">
        <v>0</v>
      </c>
      <c r="AM27" s="98">
        <v>4</v>
      </c>
      <c r="AN27" s="98"/>
      <c r="AO27" s="98"/>
      <c r="AP27" s="98"/>
      <c r="AQ27" s="98"/>
      <c r="AR27" s="98"/>
      <c r="AS27" s="98"/>
      <c r="AT27" s="98">
        <f t="shared" si="1"/>
        <v>4</v>
      </c>
      <c r="AU27" s="99" t="s">
        <v>317</v>
      </c>
    </row>
    <row r="28" customFormat="1" ht="34" customHeight="1" spans="1:48">
      <c r="A28" s="92">
        <f t="shared" si="2"/>
        <v>25</v>
      </c>
      <c r="B28" s="93" t="s">
        <v>55</v>
      </c>
      <c r="C28" s="94" t="s">
        <v>78</v>
      </c>
      <c r="D28" s="95" t="s">
        <v>23</v>
      </c>
      <c r="E28" s="95" t="s">
        <v>23</v>
      </c>
      <c r="F28" s="95" t="s">
        <v>24</v>
      </c>
      <c r="G28" s="95" t="s">
        <v>24</v>
      </c>
      <c r="H28" s="95" t="s">
        <v>24</v>
      </c>
      <c r="I28" s="97" t="s">
        <v>26</v>
      </c>
      <c r="J28" s="97" t="s">
        <v>26</v>
      </c>
      <c r="K28" s="97" t="s">
        <v>26</v>
      </c>
      <c r="L28" s="97" t="s">
        <v>26</v>
      </c>
      <c r="M28" s="95" t="s">
        <v>24</v>
      </c>
      <c r="N28" s="97" t="s">
        <v>26</v>
      </c>
      <c r="O28" s="97" t="s">
        <v>26</v>
      </c>
      <c r="P28" s="97" t="s">
        <v>26</v>
      </c>
      <c r="Q28" s="97" t="s">
        <v>26</v>
      </c>
      <c r="R28" s="97" t="s">
        <v>26</v>
      </c>
      <c r="S28" s="95" t="s">
        <v>24</v>
      </c>
      <c r="T28" s="95" t="s">
        <v>24</v>
      </c>
      <c r="U28" s="97" t="s">
        <v>26</v>
      </c>
      <c r="V28" s="97" t="s">
        <v>26</v>
      </c>
      <c r="W28" s="97" t="s">
        <v>26</v>
      </c>
      <c r="X28" s="97" t="s">
        <v>26</v>
      </c>
      <c r="Y28" s="97" t="s">
        <v>26</v>
      </c>
      <c r="Z28" s="95" t="s">
        <v>24</v>
      </c>
      <c r="AA28" s="95" t="s">
        <v>24</v>
      </c>
      <c r="AB28" s="97" t="s">
        <v>26</v>
      </c>
      <c r="AC28" s="97" t="s">
        <v>26</v>
      </c>
      <c r="AD28" s="97" t="s">
        <v>26</v>
      </c>
      <c r="AE28" s="97" t="s">
        <v>26</v>
      </c>
      <c r="AF28" s="97" t="s">
        <v>26</v>
      </c>
      <c r="AG28" s="95" t="s">
        <v>24</v>
      </c>
      <c r="AH28" s="95" t="s">
        <v>24</v>
      </c>
      <c r="AI28" s="98">
        <v>31</v>
      </c>
      <c r="AJ28" s="98">
        <f t="shared" ref="AJ28:AJ69" si="3">AI28-AM28-AK28-AL28</f>
        <v>19</v>
      </c>
      <c r="AK28" s="98">
        <v>10</v>
      </c>
      <c r="AL28" s="98">
        <v>2</v>
      </c>
      <c r="AM28" s="98"/>
      <c r="AN28" s="98"/>
      <c r="AO28" s="98"/>
      <c r="AP28" s="98"/>
      <c r="AQ28" s="98"/>
      <c r="AR28" s="98"/>
      <c r="AS28" s="98"/>
      <c r="AT28" s="98">
        <f t="shared" ref="AT28:AT69" si="4">AM28-AN28-AO28-AP28-AQ28-AR28+AS28</f>
        <v>0</v>
      </c>
      <c r="AU28" s="99"/>
    </row>
    <row r="29" ht="34" customHeight="1" spans="1:48">
      <c r="A29" s="92">
        <f t="shared" si="2"/>
        <v>26</v>
      </c>
      <c r="B29" s="93" t="s">
        <v>77</v>
      </c>
      <c r="C29" s="94" t="s">
        <v>78</v>
      </c>
      <c r="D29" s="95" t="s">
        <v>23</v>
      </c>
      <c r="E29" s="95" t="s">
        <v>23</v>
      </c>
      <c r="F29" s="95" t="s">
        <v>24</v>
      </c>
      <c r="G29" s="95" t="s">
        <v>24</v>
      </c>
      <c r="H29" s="95" t="s">
        <v>24</v>
      </c>
      <c r="I29" s="97" t="s">
        <v>26</v>
      </c>
      <c r="J29" s="97" t="s">
        <v>26</v>
      </c>
      <c r="K29" s="97" t="s">
        <v>26</v>
      </c>
      <c r="L29" s="96" t="s">
        <v>88</v>
      </c>
      <c r="M29" s="95" t="s">
        <v>24</v>
      </c>
      <c r="N29" s="97" t="s">
        <v>26</v>
      </c>
      <c r="O29" s="97" t="s">
        <v>26</v>
      </c>
      <c r="P29" s="97" t="s">
        <v>26</v>
      </c>
      <c r="Q29" s="97" t="s">
        <v>26</v>
      </c>
      <c r="R29" s="97" t="s">
        <v>26</v>
      </c>
      <c r="S29" s="95" t="s">
        <v>24</v>
      </c>
      <c r="T29" s="95" t="s">
        <v>24</v>
      </c>
      <c r="U29" s="97" t="s">
        <v>26</v>
      </c>
      <c r="V29" s="97" t="s">
        <v>26</v>
      </c>
      <c r="W29" s="97" t="s">
        <v>26</v>
      </c>
      <c r="X29" s="97" t="s">
        <v>26</v>
      </c>
      <c r="Y29" s="97" t="s">
        <v>26</v>
      </c>
      <c r="Z29" s="95" t="s">
        <v>24</v>
      </c>
      <c r="AA29" s="95" t="s">
        <v>24</v>
      </c>
      <c r="AB29" s="97" t="s">
        <v>26</v>
      </c>
      <c r="AC29" s="97" t="s">
        <v>26</v>
      </c>
      <c r="AD29" s="97" t="s">
        <v>26</v>
      </c>
      <c r="AE29" s="97" t="s">
        <v>26</v>
      </c>
      <c r="AF29" s="97" t="s">
        <v>26</v>
      </c>
      <c r="AG29" s="95" t="s">
        <v>24</v>
      </c>
      <c r="AH29" s="95" t="s">
        <v>24</v>
      </c>
      <c r="AI29" s="98">
        <v>31</v>
      </c>
      <c r="AJ29" s="98">
        <f t="shared" si="3"/>
        <v>18</v>
      </c>
      <c r="AK29" s="98">
        <v>10</v>
      </c>
      <c r="AL29" s="98">
        <v>2</v>
      </c>
      <c r="AM29" s="98">
        <v>1</v>
      </c>
      <c r="AN29" s="98"/>
      <c r="AO29" s="98">
        <v>1</v>
      </c>
      <c r="AP29" s="98"/>
      <c r="AQ29" s="98"/>
      <c r="AR29" s="98"/>
      <c r="AS29" s="98"/>
      <c r="AT29" s="98">
        <f t="shared" si="4"/>
        <v>0</v>
      </c>
      <c r="AU29" s="99" t="s">
        <v>89</v>
      </c>
    </row>
    <row r="30" ht="34" customHeight="1" spans="1:48">
      <c r="A30" s="92">
        <f t="shared" si="2"/>
        <v>27</v>
      </c>
      <c r="B30" s="93" t="s">
        <v>79</v>
      </c>
      <c r="C30" s="94" t="s">
        <v>78</v>
      </c>
      <c r="D30" s="95" t="s">
        <v>23</v>
      </c>
      <c r="E30" s="95" t="s">
        <v>23</v>
      </c>
      <c r="F30" s="95" t="s">
        <v>24</v>
      </c>
      <c r="G30" s="95" t="s">
        <v>24</v>
      </c>
      <c r="H30" s="95" t="s">
        <v>24</v>
      </c>
      <c r="I30" s="97" t="s">
        <v>26</v>
      </c>
      <c r="J30" s="97" t="s">
        <v>26</v>
      </c>
      <c r="K30" s="97" t="s">
        <v>26</v>
      </c>
      <c r="L30" s="97" t="s">
        <v>26</v>
      </c>
      <c r="M30" s="95" t="s">
        <v>24</v>
      </c>
      <c r="N30" s="97" t="s">
        <v>26</v>
      </c>
      <c r="O30" s="97" t="s">
        <v>26</v>
      </c>
      <c r="P30" s="97" t="s">
        <v>26</v>
      </c>
      <c r="Q30" s="97" t="s">
        <v>26</v>
      </c>
      <c r="R30" s="97" t="s">
        <v>26</v>
      </c>
      <c r="S30" s="95" t="s">
        <v>24</v>
      </c>
      <c r="T30" s="95" t="s">
        <v>24</v>
      </c>
      <c r="U30" s="97" t="s">
        <v>26</v>
      </c>
      <c r="V30" s="97" t="s">
        <v>26</v>
      </c>
      <c r="W30" s="97" t="s">
        <v>26</v>
      </c>
      <c r="X30" s="97" t="s">
        <v>26</v>
      </c>
      <c r="Y30" s="97" t="s">
        <v>26</v>
      </c>
      <c r="Z30" s="95" t="s">
        <v>24</v>
      </c>
      <c r="AA30" s="95" t="s">
        <v>24</v>
      </c>
      <c r="AB30" s="97" t="s">
        <v>26</v>
      </c>
      <c r="AC30" s="97" t="s">
        <v>26</v>
      </c>
      <c r="AD30" s="97" t="s">
        <v>26</v>
      </c>
      <c r="AE30" s="97" t="s">
        <v>26</v>
      </c>
      <c r="AF30" s="97" t="s">
        <v>26</v>
      </c>
      <c r="AG30" s="95" t="s">
        <v>24</v>
      </c>
      <c r="AH30" s="95" t="s">
        <v>24</v>
      </c>
      <c r="AI30" s="98">
        <v>31</v>
      </c>
      <c r="AJ30" s="98">
        <f t="shared" si="3"/>
        <v>19</v>
      </c>
      <c r="AK30" s="98">
        <v>10</v>
      </c>
      <c r="AL30" s="98">
        <v>2</v>
      </c>
      <c r="AM30" s="98"/>
      <c r="AN30" s="98"/>
      <c r="AO30" s="98"/>
      <c r="AP30" s="98"/>
      <c r="AQ30" s="98"/>
      <c r="AR30" s="98"/>
      <c r="AS30" s="98"/>
      <c r="AT30" s="98">
        <f t="shared" si="4"/>
        <v>0</v>
      </c>
      <c r="AU30" s="99"/>
    </row>
    <row r="31" ht="34" customHeight="1" spans="1:48">
      <c r="A31" s="92">
        <f t="shared" si="2"/>
        <v>28</v>
      </c>
      <c r="B31" s="93" t="s">
        <v>83</v>
      </c>
      <c r="C31" s="94" t="s">
        <v>84</v>
      </c>
      <c r="D31" s="95" t="s">
        <v>23</v>
      </c>
      <c r="E31" s="95" t="s">
        <v>23</v>
      </c>
      <c r="F31" s="95" t="s">
        <v>24</v>
      </c>
      <c r="G31" s="95" t="s">
        <v>24</v>
      </c>
      <c r="H31" s="95" t="s">
        <v>24</v>
      </c>
      <c r="I31" s="97" t="s">
        <v>26</v>
      </c>
      <c r="J31" s="97" t="s">
        <v>26</v>
      </c>
      <c r="K31" s="97" t="s">
        <v>26</v>
      </c>
      <c r="L31" s="97" t="s">
        <v>26</v>
      </c>
      <c r="M31" s="95" t="s">
        <v>24</v>
      </c>
      <c r="N31" s="97" t="s">
        <v>26</v>
      </c>
      <c r="O31" s="97" t="s">
        <v>26</v>
      </c>
      <c r="P31" s="97" t="s">
        <v>26</v>
      </c>
      <c r="Q31" s="97" t="s">
        <v>26</v>
      </c>
      <c r="R31" s="97" t="s">
        <v>26</v>
      </c>
      <c r="S31" s="95" t="s">
        <v>24</v>
      </c>
      <c r="T31" s="95" t="s">
        <v>24</v>
      </c>
      <c r="U31" s="97" t="s">
        <v>26</v>
      </c>
      <c r="V31" s="97" t="s">
        <v>26</v>
      </c>
      <c r="W31" s="97" t="s">
        <v>26</v>
      </c>
      <c r="X31" s="97" t="s">
        <v>26</v>
      </c>
      <c r="Y31" s="97" t="s">
        <v>26</v>
      </c>
      <c r="Z31" s="95" t="s">
        <v>24</v>
      </c>
      <c r="AA31" s="95" t="s">
        <v>24</v>
      </c>
      <c r="AB31" s="97" t="s">
        <v>26</v>
      </c>
      <c r="AC31" s="97" t="s">
        <v>26</v>
      </c>
      <c r="AD31" s="97" t="s">
        <v>26</v>
      </c>
      <c r="AE31" s="97" t="s">
        <v>26</v>
      </c>
      <c r="AF31" s="97" t="s">
        <v>26</v>
      </c>
      <c r="AG31" s="95" t="s">
        <v>24</v>
      </c>
      <c r="AH31" s="95" t="s">
        <v>24</v>
      </c>
      <c r="AI31" s="98">
        <v>31</v>
      </c>
      <c r="AJ31" s="98">
        <f t="shared" si="3"/>
        <v>19</v>
      </c>
      <c r="AK31" s="98">
        <v>10</v>
      </c>
      <c r="AL31" s="98">
        <v>2</v>
      </c>
      <c r="AM31" s="98"/>
      <c r="AN31" s="98"/>
      <c r="AO31" s="98"/>
      <c r="AP31" s="98"/>
      <c r="AQ31" s="98"/>
      <c r="AR31" s="98"/>
      <c r="AS31" s="98"/>
      <c r="AT31" s="98">
        <f t="shared" si="4"/>
        <v>0</v>
      </c>
      <c r="AU31" s="99"/>
    </row>
    <row r="32" ht="34" customHeight="1" spans="1:48">
      <c r="A32" s="92">
        <f t="shared" si="2"/>
        <v>29</v>
      </c>
      <c r="B32" s="93" t="s">
        <v>86</v>
      </c>
      <c r="C32" s="94" t="s">
        <v>84</v>
      </c>
      <c r="D32" s="95" t="s">
        <v>23</v>
      </c>
      <c r="E32" s="95" t="s">
        <v>23</v>
      </c>
      <c r="F32" s="95" t="s">
        <v>24</v>
      </c>
      <c r="G32" s="95" t="s">
        <v>24</v>
      </c>
      <c r="H32" s="95" t="s">
        <v>24</v>
      </c>
      <c r="I32" s="97" t="s">
        <v>26</v>
      </c>
      <c r="J32" s="97" t="s">
        <v>26</v>
      </c>
      <c r="K32" s="97" t="s">
        <v>26</v>
      </c>
      <c r="L32" s="97" t="s">
        <v>26</v>
      </c>
      <c r="M32" s="95" t="s">
        <v>24</v>
      </c>
      <c r="N32" s="97" t="s">
        <v>26</v>
      </c>
      <c r="O32" s="97" t="s">
        <v>26</v>
      </c>
      <c r="P32" s="97" t="s">
        <v>26</v>
      </c>
      <c r="Q32" s="97" t="s">
        <v>26</v>
      </c>
      <c r="R32" s="97" t="s">
        <v>26</v>
      </c>
      <c r="S32" s="95" t="s">
        <v>24</v>
      </c>
      <c r="T32" s="95" t="s">
        <v>24</v>
      </c>
      <c r="U32" s="97" t="s">
        <v>26</v>
      </c>
      <c r="V32" s="97" t="s">
        <v>26</v>
      </c>
      <c r="W32" s="97" t="s">
        <v>26</v>
      </c>
      <c r="X32" s="97" t="s">
        <v>26</v>
      </c>
      <c r="Y32" s="97" t="s">
        <v>26</v>
      </c>
      <c r="Z32" s="95" t="s">
        <v>24</v>
      </c>
      <c r="AA32" s="95" t="s">
        <v>24</v>
      </c>
      <c r="AB32" s="97" t="s">
        <v>26</v>
      </c>
      <c r="AC32" s="97" t="s">
        <v>26</v>
      </c>
      <c r="AD32" s="97" t="s">
        <v>26</v>
      </c>
      <c r="AE32" s="97" t="s">
        <v>26</v>
      </c>
      <c r="AF32" s="97" t="s">
        <v>26</v>
      </c>
      <c r="AG32" s="95" t="s">
        <v>24</v>
      </c>
      <c r="AH32" s="95" t="s">
        <v>24</v>
      </c>
      <c r="AI32" s="98">
        <v>31</v>
      </c>
      <c r="AJ32" s="98">
        <f t="shared" si="3"/>
        <v>19</v>
      </c>
      <c r="AK32" s="98">
        <v>10</v>
      </c>
      <c r="AL32" s="98">
        <v>2</v>
      </c>
      <c r="AM32" s="98"/>
      <c r="AN32" s="98"/>
      <c r="AO32" s="98"/>
      <c r="AP32" s="98"/>
      <c r="AQ32" s="98"/>
      <c r="AR32" s="98"/>
      <c r="AS32" s="98"/>
      <c r="AT32" s="98">
        <f t="shared" si="4"/>
        <v>0</v>
      </c>
      <c r="AU32" s="99"/>
    </row>
    <row r="33" customFormat="1" ht="34" customHeight="1" spans="1:47">
      <c r="A33" s="92">
        <f t="shared" si="2"/>
        <v>30</v>
      </c>
      <c r="B33" s="93" t="s">
        <v>90</v>
      </c>
      <c r="C33" s="94" t="s">
        <v>84</v>
      </c>
      <c r="D33" s="95" t="s">
        <v>23</v>
      </c>
      <c r="E33" s="95" t="s">
        <v>23</v>
      </c>
      <c r="F33" s="95" t="s">
        <v>24</v>
      </c>
      <c r="G33" s="95" t="s">
        <v>24</v>
      </c>
      <c r="H33" s="95" t="s">
        <v>24</v>
      </c>
      <c r="I33" s="97" t="s">
        <v>26</v>
      </c>
      <c r="J33" s="97" t="s">
        <v>26</v>
      </c>
      <c r="K33" s="97" t="s">
        <v>26</v>
      </c>
      <c r="L33" s="97" t="s">
        <v>26</v>
      </c>
      <c r="M33" s="95" t="s">
        <v>24</v>
      </c>
      <c r="N33" s="97" t="s">
        <v>26</v>
      </c>
      <c r="O33" s="97" t="s">
        <v>26</v>
      </c>
      <c r="P33" s="97" t="s">
        <v>26</v>
      </c>
      <c r="Q33" s="97" t="s">
        <v>26</v>
      </c>
      <c r="R33" s="97" t="s">
        <v>26</v>
      </c>
      <c r="S33" s="95" t="s">
        <v>24</v>
      </c>
      <c r="T33" s="95" t="s">
        <v>24</v>
      </c>
      <c r="U33" s="97" t="s">
        <v>26</v>
      </c>
      <c r="V33" s="97" t="s">
        <v>26</v>
      </c>
      <c r="W33" s="97" t="s">
        <v>26</v>
      </c>
      <c r="X33" s="97" t="s">
        <v>26</v>
      </c>
      <c r="Y33" s="97" t="s">
        <v>26</v>
      </c>
      <c r="Z33" s="95" t="s">
        <v>24</v>
      </c>
      <c r="AA33" s="95" t="s">
        <v>24</v>
      </c>
      <c r="AB33" s="97" t="s">
        <v>26</v>
      </c>
      <c r="AC33" s="97" t="s">
        <v>26</v>
      </c>
      <c r="AD33" s="97" t="s">
        <v>26</v>
      </c>
      <c r="AE33" s="97" t="s">
        <v>26</v>
      </c>
      <c r="AF33" s="97" t="s">
        <v>26</v>
      </c>
      <c r="AG33" s="95" t="s">
        <v>24</v>
      </c>
      <c r="AH33" s="95" t="s">
        <v>24</v>
      </c>
      <c r="AI33" s="98">
        <v>31</v>
      </c>
      <c r="AJ33" s="98">
        <f t="shared" si="3"/>
        <v>19</v>
      </c>
      <c r="AK33" s="98">
        <v>10</v>
      </c>
      <c r="AL33" s="98">
        <v>2</v>
      </c>
      <c r="AM33" s="98"/>
      <c r="AN33" s="98"/>
      <c r="AO33" s="98"/>
      <c r="AP33" s="98"/>
      <c r="AQ33" s="98"/>
      <c r="AR33" s="98"/>
      <c r="AS33" s="98"/>
      <c r="AT33" s="98">
        <f t="shared" si="4"/>
        <v>0</v>
      </c>
      <c r="AU33" s="99"/>
    </row>
    <row r="34" customFormat="1" ht="34" customHeight="1" spans="1:47">
      <c r="A34" s="92">
        <f t="shared" si="2"/>
        <v>31</v>
      </c>
      <c r="B34" s="93" t="s">
        <v>91</v>
      </c>
      <c r="C34" s="94" t="s">
        <v>84</v>
      </c>
      <c r="D34" s="95" t="s">
        <v>23</v>
      </c>
      <c r="E34" s="95" t="s">
        <v>23</v>
      </c>
      <c r="F34" s="95" t="s">
        <v>24</v>
      </c>
      <c r="G34" s="95" t="s">
        <v>24</v>
      </c>
      <c r="H34" s="95" t="s">
        <v>24</v>
      </c>
      <c r="I34" s="96" t="s">
        <v>88</v>
      </c>
      <c r="J34" s="97" t="s">
        <v>26</v>
      </c>
      <c r="K34" s="97" t="s">
        <v>26</v>
      </c>
      <c r="L34" s="97" t="s">
        <v>26</v>
      </c>
      <c r="M34" s="95" t="s">
        <v>24</v>
      </c>
      <c r="N34" s="97" t="s">
        <v>26</v>
      </c>
      <c r="O34" s="97" t="s">
        <v>26</v>
      </c>
      <c r="P34" s="97" t="s">
        <v>26</v>
      </c>
      <c r="Q34" s="97" t="s">
        <v>26</v>
      </c>
      <c r="R34" s="97" t="s">
        <v>26</v>
      </c>
      <c r="S34" s="95" t="s">
        <v>24</v>
      </c>
      <c r="T34" s="95" t="s">
        <v>24</v>
      </c>
      <c r="U34" s="97" t="s">
        <v>26</v>
      </c>
      <c r="V34" s="97" t="s">
        <v>26</v>
      </c>
      <c r="W34" s="97" t="s">
        <v>26</v>
      </c>
      <c r="X34" s="97" t="s">
        <v>26</v>
      </c>
      <c r="Y34" s="97" t="s">
        <v>26</v>
      </c>
      <c r="Z34" s="95" t="s">
        <v>24</v>
      </c>
      <c r="AA34" s="95" t="s">
        <v>24</v>
      </c>
      <c r="AB34" s="97" t="s">
        <v>26</v>
      </c>
      <c r="AC34" s="97" t="s">
        <v>26</v>
      </c>
      <c r="AD34" s="97" t="s">
        <v>26</v>
      </c>
      <c r="AE34" s="97" t="s">
        <v>26</v>
      </c>
      <c r="AF34" s="97" t="s">
        <v>26</v>
      </c>
      <c r="AG34" s="95" t="s">
        <v>24</v>
      </c>
      <c r="AH34" s="95" t="s">
        <v>24</v>
      </c>
      <c r="AI34" s="98">
        <v>31</v>
      </c>
      <c r="AJ34" s="98">
        <f t="shared" si="3"/>
        <v>18</v>
      </c>
      <c r="AK34" s="98">
        <v>10</v>
      </c>
      <c r="AL34" s="98">
        <v>2</v>
      </c>
      <c r="AM34" s="98">
        <v>1</v>
      </c>
      <c r="AN34" s="98"/>
      <c r="AO34" s="98">
        <v>1</v>
      </c>
      <c r="AP34" s="98"/>
      <c r="AQ34" s="98"/>
      <c r="AR34" s="98"/>
      <c r="AS34" s="98"/>
      <c r="AT34" s="98">
        <f t="shared" si="4"/>
        <v>0</v>
      </c>
      <c r="AU34" s="99" t="s">
        <v>89</v>
      </c>
    </row>
    <row r="35" customFormat="1" ht="34" customHeight="1" spans="1:47">
      <c r="A35" s="92">
        <f t="shared" si="2"/>
        <v>32</v>
      </c>
      <c r="B35" s="106" t="s">
        <v>318</v>
      </c>
      <c r="C35" s="94" t="s">
        <v>84</v>
      </c>
      <c r="D35" s="95" t="s">
        <v>23</v>
      </c>
      <c r="E35" s="95" t="s">
        <v>23</v>
      </c>
      <c r="F35" s="95" t="s">
        <v>24</v>
      </c>
      <c r="G35" s="95" t="s">
        <v>24</v>
      </c>
      <c r="H35" s="95" t="s">
        <v>24</v>
      </c>
      <c r="I35" s="97" t="s">
        <v>26</v>
      </c>
      <c r="J35" s="97" t="s">
        <v>26</v>
      </c>
      <c r="K35" s="100" t="s">
        <v>25</v>
      </c>
      <c r="L35" s="97" t="s">
        <v>26</v>
      </c>
      <c r="M35" s="95" t="s">
        <v>24</v>
      </c>
      <c r="N35" s="100" t="s">
        <v>25</v>
      </c>
      <c r="O35" s="97" t="s">
        <v>26</v>
      </c>
      <c r="P35" s="97" t="s">
        <v>26</v>
      </c>
      <c r="Q35" s="97" t="s">
        <v>26</v>
      </c>
      <c r="R35" s="97" t="s">
        <v>26</v>
      </c>
      <c r="S35" s="95" t="s">
        <v>24</v>
      </c>
      <c r="T35" s="95" t="s">
        <v>24</v>
      </c>
      <c r="U35" s="97" t="s">
        <v>26</v>
      </c>
      <c r="V35" s="97" t="s">
        <v>26</v>
      </c>
      <c r="W35" s="97" t="s">
        <v>26</v>
      </c>
      <c r="X35" s="97" t="s">
        <v>26</v>
      </c>
      <c r="Y35" s="100" t="s">
        <v>27</v>
      </c>
      <c r="Z35" s="95" t="s">
        <v>24</v>
      </c>
      <c r="AA35" s="95" t="s">
        <v>24</v>
      </c>
      <c r="AB35" s="97" t="s">
        <v>26</v>
      </c>
      <c r="AC35" s="97" t="s">
        <v>26</v>
      </c>
      <c r="AD35" s="98" t="s">
        <v>34</v>
      </c>
      <c r="AE35" s="98" t="s">
        <v>34</v>
      </c>
      <c r="AF35" s="98" t="s">
        <v>34</v>
      </c>
      <c r="AG35" s="98" t="s">
        <v>34</v>
      </c>
      <c r="AH35" s="98" t="s">
        <v>34</v>
      </c>
      <c r="AI35" s="98">
        <v>31</v>
      </c>
      <c r="AJ35" s="98">
        <f t="shared" si="3"/>
        <v>13.69</v>
      </c>
      <c r="AK35" s="98">
        <v>10</v>
      </c>
      <c r="AL35" s="98">
        <v>2</v>
      </c>
      <c r="AM35" s="98">
        <v>5.31</v>
      </c>
      <c r="AN35" s="98"/>
      <c r="AO35" s="98"/>
      <c r="AP35" s="98"/>
      <c r="AQ35" s="98"/>
      <c r="AR35" s="98"/>
      <c r="AS35" s="98"/>
      <c r="AT35" s="98">
        <f t="shared" si="4"/>
        <v>5.31</v>
      </c>
      <c r="AU35" s="99" t="s">
        <v>319</v>
      </c>
    </row>
    <row r="36" customFormat="1" ht="34" customHeight="1" spans="1:47">
      <c r="A36" s="92">
        <f t="shared" si="2"/>
        <v>33</v>
      </c>
      <c r="B36" s="93" t="s">
        <v>320</v>
      </c>
      <c r="C36" s="94" t="s">
        <v>84</v>
      </c>
      <c r="D36" s="95" t="s">
        <v>23</v>
      </c>
      <c r="E36" s="95" t="s">
        <v>23</v>
      </c>
      <c r="F36" s="95" t="s">
        <v>24</v>
      </c>
      <c r="G36" s="95" t="s">
        <v>24</v>
      </c>
      <c r="H36" s="95" t="s">
        <v>24</v>
      </c>
      <c r="I36" s="97" t="s">
        <v>26</v>
      </c>
      <c r="J36" s="97" t="s">
        <v>26</v>
      </c>
      <c r="K36" s="97" t="s">
        <v>26</v>
      </c>
      <c r="L36" s="97" t="s">
        <v>26</v>
      </c>
      <c r="M36" s="95" t="s">
        <v>24</v>
      </c>
      <c r="N36" s="97" t="s">
        <v>26</v>
      </c>
      <c r="O36" s="97" t="s">
        <v>26</v>
      </c>
      <c r="P36" s="97" t="s">
        <v>26</v>
      </c>
      <c r="Q36" s="97" t="s">
        <v>26</v>
      </c>
      <c r="R36" s="97" t="s">
        <v>26</v>
      </c>
      <c r="S36" s="95" t="s">
        <v>24</v>
      </c>
      <c r="T36" s="95" t="s">
        <v>24</v>
      </c>
      <c r="U36" s="97" t="s">
        <v>26</v>
      </c>
      <c r="V36" s="97" t="s">
        <v>26</v>
      </c>
      <c r="W36" s="97" t="s">
        <v>26</v>
      </c>
      <c r="X36" s="97" t="s">
        <v>26</v>
      </c>
      <c r="Y36" s="97" t="s">
        <v>26</v>
      </c>
      <c r="Z36" s="95" t="s">
        <v>24</v>
      </c>
      <c r="AA36" s="95" t="s">
        <v>24</v>
      </c>
      <c r="AB36" s="97" t="s">
        <v>26</v>
      </c>
      <c r="AC36" s="97" t="s">
        <v>26</v>
      </c>
      <c r="AD36" s="97" t="s">
        <v>26</v>
      </c>
      <c r="AE36" s="97" t="s">
        <v>26</v>
      </c>
      <c r="AF36" s="97" t="s">
        <v>26</v>
      </c>
      <c r="AG36" s="95" t="s">
        <v>24</v>
      </c>
      <c r="AH36" s="95" t="s">
        <v>24</v>
      </c>
      <c r="AI36" s="98">
        <v>31</v>
      </c>
      <c r="AJ36" s="98">
        <f t="shared" si="3"/>
        <v>19</v>
      </c>
      <c r="AK36" s="98">
        <v>10</v>
      </c>
      <c r="AL36" s="98">
        <v>2</v>
      </c>
      <c r="AM36" s="98"/>
      <c r="AN36" s="98"/>
      <c r="AO36" s="98"/>
      <c r="AP36" s="98"/>
      <c r="AQ36" s="98"/>
      <c r="AR36" s="98"/>
      <c r="AS36" s="98"/>
      <c r="AT36" s="98">
        <f t="shared" si="4"/>
        <v>0</v>
      </c>
      <c r="AU36" s="99"/>
    </row>
    <row r="37" customFormat="1" ht="35" customHeight="1" spans="1:47">
      <c r="A37" s="92">
        <f t="shared" si="2"/>
        <v>34</v>
      </c>
      <c r="B37" s="93" t="s">
        <v>92</v>
      </c>
      <c r="C37" s="94" t="s">
        <v>93</v>
      </c>
      <c r="D37" s="95" t="s">
        <v>23</v>
      </c>
      <c r="E37" s="95" t="s">
        <v>23</v>
      </c>
      <c r="F37" s="95" t="s">
        <v>24</v>
      </c>
      <c r="G37" s="95" t="s">
        <v>24</v>
      </c>
      <c r="H37" s="95" t="s">
        <v>24</v>
      </c>
      <c r="I37" s="97" t="s">
        <v>26</v>
      </c>
      <c r="J37" s="96" t="s">
        <v>134</v>
      </c>
      <c r="K37" s="97" t="s">
        <v>26</v>
      </c>
      <c r="L37" s="97" t="s">
        <v>26</v>
      </c>
      <c r="M37" s="95" t="s">
        <v>24</v>
      </c>
      <c r="N37" s="97" t="s">
        <v>26</v>
      </c>
      <c r="O37" s="97" t="s">
        <v>26</v>
      </c>
      <c r="P37" s="97" t="s">
        <v>26</v>
      </c>
      <c r="Q37" s="97" t="s">
        <v>26</v>
      </c>
      <c r="R37" s="97" t="s">
        <v>26</v>
      </c>
      <c r="S37" s="95" t="s">
        <v>24</v>
      </c>
      <c r="T37" s="95" t="s">
        <v>24</v>
      </c>
      <c r="U37" s="97" t="s">
        <v>26</v>
      </c>
      <c r="V37" s="97" t="s">
        <v>26</v>
      </c>
      <c r="W37" s="97" t="s">
        <v>26</v>
      </c>
      <c r="X37" s="97" t="s">
        <v>26</v>
      </c>
      <c r="Y37" s="97" t="s">
        <v>26</v>
      </c>
      <c r="Z37" s="95" t="s">
        <v>24</v>
      </c>
      <c r="AA37" s="95" t="s">
        <v>24</v>
      </c>
      <c r="AB37" s="97" t="s">
        <v>26</v>
      </c>
      <c r="AC37" s="97" t="s">
        <v>26</v>
      </c>
      <c r="AD37" s="97" t="s">
        <v>26</v>
      </c>
      <c r="AE37" s="97" t="s">
        <v>26</v>
      </c>
      <c r="AF37" s="97" t="s">
        <v>26</v>
      </c>
      <c r="AG37" s="95" t="s">
        <v>24</v>
      </c>
      <c r="AH37" s="95" t="s">
        <v>24</v>
      </c>
      <c r="AI37" s="98">
        <v>31</v>
      </c>
      <c r="AJ37" s="98">
        <f t="shared" si="3"/>
        <v>18.75</v>
      </c>
      <c r="AK37" s="98">
        <v>10</v>
      </c>
      <c r="AL37" s="98">
        <v>2</v>
      </c>
      <c r="AM37" s="98">
        <v>0.25</v>
      </c>
      <c r="AN37" s="98"/>
      <c r="AO37" s="98">
        <v>0.25</v>
      </c>
      <c r="AP37" s="98"/>
      <c r="AQ37" s="98"/>
      <c r="AR37" s="98"/>
      <c r="AS37" s="98"/>
      <c r="AT37" s="98">
        <f t="shared" si="4"/>
        <v>0</v>
      </c>
      <c r="AU37" s="99" t="s">
        <v>135</v>
      </c>
    </row>
    <row r="38" customFormat="1" ht="34" customHeight="1" spans="1:47">
      <c r="A38" s="92">
        <f t="shared" si="2"/>
        <v>35</v>
      </c>
      <c r="B38" s="93" t="s">
        <v>94</v>
      </c>
      <c r="C38" s="94" t="s">
        <v>93</v>
      </c>
      <c r="D38" s="95" t="s">
        <v>23</v>
      </c>
      <c r="E38" s="95" t="s">
        <v>23</v>
      </c>
      <c r="F38" s="95" t="s">
        <v>24</v>
      </c>
      <c r="G38" s="95" t="s">
        <v>24</v>
      </c>
      <c r="H38" s="95" t="s">
        <v>24</v>
      </c>
      <c r="I38" s="100" t="s">
        <v>321</v>
      </c>
      <c r="J38" s="97" t="s">
        <v>26</v>
      </c>
      <c r="K38" s="97" t="s">
        <v>26</v>
      </c>
      <c r="L38" s="97" t="s">
        <v>26</v>
      </c>
      <c r="M38" s="95" t="s">
        <v>24</v>
      </c>
      <c r="N38" s="97" t="s">
        <v>26</v>
      </c>
      <c r="O38" s="97" t="s">
        <v>26</v>
      </c>
      <c r="P38" s="97" t="s">
        <v>26</v>
      </c>
      <c r="Q38" s="97" t="s">
        <v>26</v>
      </c>
      <c r="R38" s="97" t="s">
        <v>26</v>
      </c>
      <c r="S38" s="95" t="s">
        <v>24</v>
      </c>
      <c r="T38" s="95" t="s">
        <v>24</v>
      </c>
      <c r="U38" s="97" t="s">
        <v>26</v>
      </c>
      <c r="V38" s="97" t="s">
        <v>26</v>
      </c>
      <c r="W38" s="97" t="s">
        <v>26</v>
      </c>
      <c r="X38" s="97" t="s">
        <v>26</v>
      </c>
      <c r="Y38" s="97" t="s">
        <v>26</v>
      </c>
      <c r="Z38" s="95" t="s">
        <v>24</v>
      </c>
      <c r="AA38" s="95" t="s">
        <v>24</v>
      </c>
      <c r="AB38" s="97" t="s">
        <v>26</v>
      </c>
      <c r="AC38" s="97" t="s">
        <v>26</v>
      </c>
      <c r="AD38" s="97" t="s">
        <v>26</v>
      </c>
      <c r="AE38" s="97" t="s">
        <v>26</v>
      </c>
      <c r="AF38" s="97" t="s">
        <v>26</v>
      </c>
      <c r="AG38" s="95" t="s">
        <v>24</v>
      </c>
      <c r="AH38" s="95" t="s">
        <v>24</v>
      </c>
      <c r="AI38" s="98">
        <v>31</v>
      </c>
      <c r="AJ38" s="98">
        <f t="shared" si="3"/>
        <v>18.56</v>
      </c>
      <c r="AK38" s="98">
        <v>10</v>
      </c>
      <c r="AL38" s="98">
        <v>2</v>
      </c>
      <c r="AM38" s="98">
        <v>0.44</v>
      </c>
      <c r="AN38" s="98"/>
      <c r="AO38" s="98"/>
      <c r="AP38" s="98"/>
      <c r="AQ38" s="98"/>
      <c r="AR38" s="98"/>
      <c r="AS38" s="98"/>
      <c r="AT38" s="98">
        <f t="shared" si="4"/>
        <v>0.44</v>
      </c>
      <c r="AU38" s="99"/>
    </row>
    <row r="39" ht="34" customHeight="1" spans="1:47">
      <c r="A39" s="92">
        <f t="shared" si="2"/>
        <v>36</v>
      </c>
      <c r="B39" s="93" t="s">
        <v>95</v>
      </c>
      <c r="C39" s="94" t="s">
        <v>93</v>
      </c>
      <c r="D39" s="95" t="s">
        <v>23</v>
      </c>
      <c r="E39" s="95" t="s">
        <v>23</v>
      </c>
      <c r="F39" s="95" t="s">
        <v>24</v>
      </c>
      <c r="G39" s="95" t="s">
        <v>24</v>
      </c>
      <c r="H39" s="95" t="s">
        <v>24</v>
      </c>
      <c r="I39" s="97" t="s">
        <v>26</v>
      </c>
      <c r="J39" s="97" t="s">
        <v>26</v>
      </c>
      <c r="K39" s="97" t="s">
        <v>26</v>
      </c>
      <c r="L39" s="97" t="s">
        <v>26</v>
      </c>
      <c r="M39" s="95" t="s">
        <v>24</v>
      </c>
      <c r="N39" s="97" t="s">
        <v>26</v>
      </c>
      <c r="O39" s="97" t="s">
        <v>26</v>
      </c>
      <c r="P39" s="97" t="s">
        <v>26</v>
      </c>
      <c r="Q39" s="97" t="s">
        <v>26</v>
      </c>
      <c r="R39" s="97" t="s">
        <v>26</v>
      </c>
      <c r="S39" s="95" t="s">
        <v>24</v>
      </c>
      <c r="T39" s="95" t="s">
        <v>24</v>
      </c>
      <c r="U39" s="97" t="s">
        <v>26</v>
      </c>
      <c r="V39" s="97" t="s">
        <v>26</v>
      </c>
      <c r="W39" s="97" t="s">
        <v>26</v>
      </c>
      <c r="X39" s="97" t="s">
        <v>26</v>
      </c>
      <c r="Y39" s="97" t="s">
        <v>26</v>
      </c>
      <c r="Z39" s="95" t="s">
        <v>24</v>
      </c>
      <c r="AA39" s="95" t="s">
        <v>24</v>
      </c>
      <c r="AB39" s="97" t="s">
        <v>26</v>
      </c>
      <c r="AC39" s="97" t="s">
        <v>26</v>
      </c>
      <c r="AD39" s="97" t="s">
        <v>26</v>
      </c>
      <c r="AE39" s="97" t="s">
        <v>26</v>
      </c>
      <c r="AF39" s="97" t="s">
        <v>26</v>
      </c>
      <c r="AG39" s="95" t="s">
        <v>24</v>
      </c>
      <c r="AH39" s="95" t="s">
        <v>24</v>
      </c>
      <c r="AI39" s="98">
        <v>31</v>
      </c>
      <c r="AJ39" s="98">
        <f t="shared" si="3"/>
        <v>19</v>
      </c>
      <c r="AK39" s="98">
        <v>10</v>
      </c>
      <c r="AL39" s="98">
        <v>2</v>
      </c>
      <c r="AM39" s="98"/>
      <c r="AN39" s="98"/>
      <c r="AO39" s="98"/>
      <c r="AP39" s="98"/>
      <c r="AQ39" s="98"/>
      <c r="AR39" s="98"/>
      <c r="AS39" s="98"/>
      <c r="AT39" s="98">
        <f t="shared" si="4"/>
        <v>0</v>
      </c>
      <c r="AU39" s="99"/>
    </row>
    <row r="40" customFormat="1" ht="34" customHeight="1" spans="1:47">
      <c r="A40" s="92">
        <f t="shared" si="2"/>
        <v>37</v>
      </c>
      <c r="B40" s="93" t="s">
        <v>206</v>
      </c>
      <c r="C40" s="94" t="s">
        <v>93</v>
      </c>
      <c r="D40" s="95" t="s">
        <v>23</v>
      </c>
      <c r="E40" s="95" t="s">
        <v>23</v>
      </c>
      <c r="F40" s="95" t="s">
        <v>24</v>
      </c>
      <c r="G40" s="95" t="s">
        <v>24</v>
      </c>
      <c r="H40" s="95" t="s">
        <v>24</v>
      </c>
      <c r="I40" s="97" t="s">
        <v>26</v>
      </c>
      <c r="J40" s="97" t="s">
        <v>26</v>
      </c>
      <c r="K40" s="97" t="s">
        <v>26</v>
      </c>
      <c r="L40" s="97" t="s">
        <v>26</v>
      </c>
      <c r="M40" s="95" t="s">
        <v>24</v>
      </c>
      <c r="N40" s="97" t="s">
        <v>26</v>
      </c>
      <c r="O40" s="97" t="s">
        <v>26</v>
      </c>
      <c r="P40" s="97" t="s">
        <v>26</v>
      </c>
      <c r="Q40" s="97" t="s">
        <v>26</v>
      </c>
      <c r="R40" s="97" t="s">
        <v>26</v>
      </c>
      <c r="S40" s="95" t="s">
        <v>24</v>
      </c>
      <c r="T40" s="95" t="s">
        <v>24</v>
      </c>
      <c r="U40" s="97" t="s">
        <v>26</v>
      </c>
      <c r="V40" s="97" t="s">
        <v>26</v>
      </c>
      <c r="W40" s="97" t="s">
        <v>26</v>
      </c>
      <c r="X40" s="97" t="s">
        <v>26</v>
      </c>
      <c r="Y40" s="97" t="s">
        <v>26</v>
      </c>
      <c r="Z40" s="95" t="s">
        <v>24</v>
      </c>
      <c r="AA40" s="95" t="s">
        <v>24</v>
      </c>
      <c r="AB40" s="97" t="s">
        <v>26</v>
      </c>
      <c r="AC40" s="97" t="s">
        <v>26</v>
      </c>
      <c r="AD40" s="97" t="s">
        <v>26</v>
      </c>
      <c r="AE40" s="97" t="s">
        <v>26</v>
      </c>
      <c r="AF40" s="97" t="s">
        <v>26</v>
      </c>
      <c r="AG40" s="95" t="s">
        <v>24</v>
      </c>
      <c r="AH40" s="95" t="s">
        <v>24</v>
      </c>
      <c r="AI40" s="98">
        <v>31</v>
      </c>
      <c r="AJ40" s="98">
        <f t="shared" si="3"/>
        <v>19</v>
      </c>
      <c r="AK40" s="98">
        <v>10</v>
      </c>
      <c r="AL40" s="98">
        <v>2</v>
      </c>
      <c r="AM40" s="98"/>
      <c r="AN40" s="98"/>
      <c r="AO40" s="98"/>
      <c r="AP40" s="98"/>
      <c r="AQ40" s="98"/>
      <c r="AR40" s="98"/>
      <c r="AS40" s="98"/>
      <c r="AT40" s="98">
        <f t="shared" si="4"/>
        <v>0</v>
      </c>
      <c r="AU40" s="99"/>
    </row>
    <row r="41" ht="33" customHeight="1" spans="1:47">
      <c r="A41" s="92">
        <f t="shared" si="2"/>
        <v>38</v>
      </c>
      <c r="B41" s="93" t="s">
        <v>96</v>
      </c>
      <c r="C41" s="94" t="s">
        <v>93</v>
      </c>
      <c r="D41" s="95" t="s">
        <v>23</v>
      </c>
      <c r="E41" s="95" t="s">
        <v>23</v>
      </c>
      <c r="F41" s="95" t="s">
        <v>24</v>
      </c>
      <c r="G41" s="95" t="s">
        <v>24</v>
      </c>
      <c r="H41" s="95" t="s">
        <v>24</v>
      </c>
      <c r="I41" s="97" t="s">
        <v>26</v>
      </c>
      <c r="J41" s="97" t="s">
        <v>26</v>
      </c>
      <c r="K41" s="97" t="s">
        <v>26</v>
      </c>
      <c r="L41" s="97" t="s">
        <v>26</v>
      </c>
      <c r="M41" s="95" t="s">
        <v>24</v>
      </c>
      <c r="N41" s="97" t="s">
        <v>26</v>
      </c>
      <c r="O41" s="97" t="s">
        <v>26</v>
      </c>
      <c r="P41" s="97" t="s">
        <v>26</v>
      </c>
      <c r="Q41" s="97" t="s">
        <v>26</v>
      </c>
      <c r="R41" s="97" t="s">
        <v>26</v>
      </c>
      <c r="S41" s="95" t="s">
        <v>24</v>
      </c>
      <c r="T41" s="95" t="s">
        <v>24</v>
      </c>
      <c r="U41" s="97" t="s">
        <v>26</v>
      </c>
      <c r="V41" s="97" t="s">
        <v>26</v>
      </c>
      <c r="W41" s="97" t="s">
        <v>26</v>
      </c>
      <c r="X41" s="97" t="s">
        <v>26</v>
      </c>
      <c r="Y41" s="97" t="s">
        <v>26</v>
      </c>
      <c r="Z41" s="95" t="s">
        <v>24</v>
      </c>
      <c r="AA41" s="95" t="s">
        <v>24</v>
      </c>
      <c r="AB41" s="97" t="s">
        <v>26</v>
      </c>
      <c r="AC41" s="97" t="s">
        <v>26</v>
      </c>
      <c r="AD41" s="97" t="s">
        <v>26</v>
      </c>
      <c r="AE41" s="97" t="s">
        <v>26</v>
      </c>
      <c r="AF41" s="97" t="s">
        <v>26</v>
      </c>
      <c r="AG41" s="95" t="s">
        <v>24</v>
      </c>
      <c r="AH41" s="95" t="s">
        <v>24</v>
      </c>
      <c r="AI41" s="98">
        <v>31</v>
      </c>
      <c r="AJ41" s="98">
        <f t="shared" si="3"/>
        <v>19</v>
      </c>
      <c r="AK41" s="98">
        <v>10</v>
      </c>
      <c r="AL41" s="98">
        <v>2</v>
      </c>
      <c r="AM41" s="98"/>
      <c r="AN41" s="98"/>
      <c r="AO41" s="98"/>
      <c r="AP41" s="98"/>
      <c r="AQ41" s="98"/>
      <c r="AR41" s="98"/>
      <c r="AS41" s="98"/>
      <c r="AT41" s="98">
        <f t="shared" si="4"/>
        <v>0</v>
      </c>
      <c r="AU41" s="99"/>
    </row>
    <row r="42" ht="33" customHeight="1" spans="1:47">
      <c r="A42" s="92">
        <f t="shared" si="2"/>
        <v>39</v>
      </c>
      <c r="B42" s="93" t="s">
        <v>322</v>
      </c>
      <c r="C42" s="94" t="s">
        <v>93</v>
      </c>
      <c r="D42" s="95" t="s">
        <v>23</v>
      </c>
      <c r="E42" s="95" t="s">
        <v>23</v>
      </c>
      <c r="F42" s="95" t="s">
        <v>24</v>
      </c>
      <c r="G42" s="95" t="s">
        <v>24</v>
      </c>
      <c r="H42" s="95" t="s">
        <v>24</v>
      </c>
      <c r="I42" s="97" t="s">
        <v>26</v>
      </c>
      <c r="J42" s="97" t="s">
        <v>26</v>
      </c>
      <c r="K42" s="97" t="s">
        <v>26</v>
      </c>
      <c r="L42" s="97" t="s">
        <v>26</v>
      </c>
      <c r="M42" s="95" t="s">
        <v>24</v>
      </c>
      <c r="N42" s="100" t="s">
        <v>321</v>
      </c>
      <c r="O42" s="97" t="s">
        <v>26</v>
      </c>
      <c r="P42" s="100" t="s">
        <v>25</v>
      </c>
      <c r="Q42" s="100" t="s">
        <v>25</v>
      </c>
      <c r="R42" s="100" t="s">
        <v>25</v>
      </c>
      <c r="S42" s="95" t="s">
        <v>24</v>
      </c>
      <c r="T42" s="95" t="s">
        <v>24</v>
      </c>
      <c r="U42" s="100" t="s">
        <v>25</v>
      </c>
      <c r="V42" s="100" t="s">
        <v>25</v>
      </c>
      <c r="W42" s="100" t="s">
        <v>25</v>
      </c>
      <c r="X42" s="100" t="s">
        <v>25</v>
      </c>
      <c r="Y42" s="100" t="s">
        <v>25</v>
      </c>
      <c r="Z42" s="95" t="s">
        <v>24</v>
      </c>
      <c r="AA42" s="95" t="s">
        <v>24</v>
      </c>
      <c r="AB42" s="100" t="s">
        <v>25</v>
      </c>
      <c r="AC42" s="100" t="s">
        <v>25</v>
      </c>
      <c r="AD42" s="100" t="s">
        <v>25</v>
      </c>
      <c r="AE42" s="100" t="s">
        <v>25</v>
      </c>
      <c r="AF42" s="100" t="s">
        <v>25</v>
      </c>
      <c r="AG42" s="95" t="s">
        <v>24</v>
      </c>
      <c r="AH42" s="95" t="s">
        <v>24</v>
      </c>
      <c r="AI42" s="98">
        <v>31</v>
      </c>
      <c r="AJ42" s="98">
        <f t="shared" si="3"/>
        <v>5.56</v>
      </c>
      <c r="AK42" s="98">
        <v>10</v>
      </c>
      <c r="AL42" s="98">
        <v>2</v>
      </c>
      <c r="AM42" s="98">
        <v>13.44</v>
      </c>
      <c r="AN42" s="98"/>
      <c r="AO42" s="98"/>
      <c r="AP42" s="98"/>
      <c r="AQ42" s="98"/>
      <c r="AR42" s="98"/>
      <c r="AS42" s="98"/>
      <c r="AT42" s="98">
        <f t="shared" si="4"/>
        <v>13.44</v>
      </c>
      <c r="AU42" s="99"/>
    </row>
    <row r="43" ht="34" customHeight="1" spans="1:47">
      <c r="A43" s="92">
        <f t="shared" si="2"/>
        <v>40</v>
      </c>
      <c r="B43" s="93" t="s">
        <v>323</v>
      </c>
      <c r="C43" s="94" t="s">
        <v>93</v>
      </c>
      <c r="D43" s="95" t="s">
        <v>23</v>
      </c>
      <c r="E43" s="95" t="s">
        <v>23</v>
      </c>
      <c r="F43" s="95" t="s">
        <v>24</v>
      </c>
      <c r="G43" s="95" t="s">
        <v>24</v>
      </c>
      <c r="H43" s="95" t="s">
        <v>24</v>
      </c>
      <c r="I43" s="97" t="s">
        <v>26</v>
      </c>
      <c r="J43" s="97" t="s">
        <v>26</v>
      </c>
      <c r="K43" s="97" t="s">
        <v>26</v>
      </c>
      <c r="L43" s="97" t="s">
        <v>26</v>
      </c>
      <c r="M43" s="95" t="s">
        <v>24</v>
      </c>
      <c r="N43" s="100" t="s">
        <v>25</v>
      </c>
      <c r="O43" s="100" t="s">
        <v>25</v>
      </c>
      <c r="P43" s="100" t="s">
        <v>25</v>
      </c>
      <c r="Q43" s="100" t="s">
        <v>25</v>
      </c>
      <c r="R43" s="100" t="s">
        <v>25</v>
      </c>
      <c r="S43" s="95" t="s">
        <v>24</v>
      </c>
      <c r="T43" s="95" t="s">
        <v>24</v>
      </c>
      <c r="U43" s="100" t="s">
        <v>25</v>
      </c>
      <c r="V43" s="100" t="s">
        <v>25</v>
      </c>
      <c r="W43" s="100" t="s">
        <v>25</v>
      </c>
      <c r="X43" s="100" t="s">
        <v>25</v>
      </c>
      <c r="Y43" s="100" t="s">
        <v>25</v>
      </c>
      <c r="Z43" s="95" t="s">
        <v>24</v>
      </c>
      <c r="AA43" s="95" t="s">
        <v>24</v>
      </c>
      <c r="AB43" s="100" t="s">
        <v>25</v>
      </c>
      <c r="AC43" s="100" t="s">
        <v>25</v>
      </c>
      <c r="AD43" s="100" t="s">
        <v>25</v>
      </c>
      <c r="AE43" s="100" t="s">
        <v>25</v>
      </c>
      <c r="AF43" s="100" t="s">
        <v>25</v>
      </c>
      <c r="AG43" s="95" t="s">
        <v>24</v>
      </c>
      <c r="AH43" s="95" t="s">
        <v>24</v>
      </c>
      <c r="AI43" s="98">
        <v>31</v>
      </c>
      <c r="AJ43" s="98">
        <f t="shared" si="3"/>
        <v>4</v>
      </c>
      <c r="AK43" s="98">
        <v>10</v>
      </c>
      <c r="AL43" s="98">
        <v>2</v>
      </c>
      <c r="AM43" s="98">
        <v>15</v>
      </c>
      <c r="AN43" s="98"/>
      <c r="AO43" s="98"/>
      <c r="AP43" s="98"/>
      <c r="AQ43" s="98"/>
      <c r="AR43" s="98"/>
      <c r="AS43" s="98"/>
      <c r="AT43" s="98">
        <f t="shared" si="4"/>
        <v>15</v>
      </c>
      <c r="AU43" s="99"/>
    </row>
    <row r="44" ht="34" customHeight="1" spans="1:47">
      <c r="A44" s="92">
        <f t="shared" si="2"/>
        <v>41</v>
      </c>
      <c r="B44" s="93" t="s">
        <v>324</v>
      </c>
      <c r="C44" s="94" t="s">
        <v>288</v>
      </c>
      <c r="D44" s="95" t="s">
        <v>23</v>
      </c>
      <c r="E44" s="95" t="s">
        <v>23</v>
      </c>
      <c r="F44" s="95" t="s">
        <v>24</v>
      </c>
      <c r="G44" s="95" t="s">
        <v>24</v>
      </c>
      <c r="H44" s="95" t="s">
        <v>24</v>
      </c>
      <c r="I44" s="97" t="s">
        <v>26</v>
      </c>
      <c r="J44" s="97" t="s">
        <v>26</v>
      </c>
      <c r="K44" s="97" t="s">
        <v>26</v>
      </c>
      <c r="L44" s="97" t="s">
        <v>26</v>
      </c>
      <c r="M44" s="95" t="s">
        <v>24</v>
      </c>
      <c r="N44" s="97" t="s">
        <v>26</v>
      </c>
      <c r="O44" s="97" t="s">
        <v>26</v>
      </c>
      <c r="P44" s="97" t="s">
        <v>26</v>
      </c>
      <c r="Q44" s="97" t="s">
        <v>26</v>
      </c>
      <c r="R44" s="97" t="s">
        <v>26</v>
      </c>
      <c r="S44" s="95" t="s">
        <v>24</v>
      </c>
      <c r="T44" s="95" t="s">
        <v>24</v>
      </c>
      <c r="U44" s="97" t="s">
        <v>26</v>
      </c>
      <c r="V44" s="97" t="s">
        <v>26</v>
      </c>
      <c r="W44" s="97" t="s">
        <v>26</v>
      </c>
      <c r="X44" s="97" t="s">
        <v>26</v>
      </c>
      <c r="Y44" s="97" t="s">
        <v>26</v>
      </c>
      <c r="Z44" s="95" t="s">
        <v>24</v>
      </c>
      <c r="AA44" s="95" t="s">
        <v>24</v>
      </c>
      <c r="AB44" s="97" t="s">
        <v>26</v>
      </c>
      <c r="AC44" s="97" t="s">
        <v>26</v>
      </c>
      <c r="AD44" s="97" t="s">
        <v>26</v>
      </c>
      <c r="AE44" s="97" t="s">
        <v>26</v>
      </c>
      <c r="AF44" s="97" t="s">
        <v>26</v>
      </c>
      <c r="AG44" s="95" t="s">
        <v>24</v>
      </c>
      <c r="AH44" s="95" t="s">
        <v>24</v>
      </c>
      <c r="AI44" s="98">
        <v>31</v>
      </c>
      <c r="AJ44" s="98">
        <f t="shared" si="3"/>
        <v>19</v>
      </c>
      <c r="AK44" s="98">
        <v>10</v>
      </c>
      <c r="AL44" s="98">
        <v>2</v>
      </c>
      <c r="AM44" s="98"/>
      <c r="AN44" s="98"/>
      <c r="AO44" s="98"/>
      <c r="AP44" s="98"/>
      <c r="AQ44" s="98"/>
      <c r="AR44" s="98"/>
      <c r="AS44" s="98"/>
      <c r="AT44" s="98">
        <f t="shared" si="4"/>
        <v>0</v>
      </c>
      <c r="AU44" s="99"/>
    </row>
    <row r="45" ht="34" customHeight="1" spans="1:47">
      <c r="A45" s="92">
        <f t="shared" si="2"/>
        <v>42</v>
      </c>
      <c r="B45" s="93" t="s">
        <v>97</v>
      </c>
      <c r="C45" s="94" t="s">
        <v>98</v>
      </c>
      <c r="D45" s="95" t="s">
        <v>23</v>
      </c>
      <c r="E45" s="95" t="s">
        <v>23</v>
      </c>
      <c r="F45" s="95" t="s">
        <v>24</v>
      </c>
      <c r="G45" s="95" t="s">
        <v>24</v>
      </c>
      <c r="H45" s="95" t="s">
        <v>24</v>
      </c>
      <c r="I45" s="97" t="s">
        <v>26</v>
      </c>
      <c r="J45" s="97" t="s">
        <v>26</v>
      </c>
      <c r="K45" s="97" t="s">
        <v>26</v>
      </c>
      <c r="L45" s="97" t="s">
        <v>26</v>
      </c>
      <c r="M45" s="95" t="s">
        <v>24</v>
      </c>
      <c r="N45" s="97" t="s">
        <v>26</v>
      </c>
      <c r="O45" s="97" t="s">
        <v>26</v>
      </c>
      <c r="P45" s="97" t="s">
        <v>26</v>
      </c>
      <c r="Q45" s="97" t="s">
        <v>26</v>
      </c>
      <c r="R45" s="97" t="s">
        <v>26</v>
      </c>
      <c r="S45" s="95" t="s">
        <v>24</v>
      </c>
      <c r="T45" s="95" t="s">
        <v>24</v>
      </c>
      <c r="U45" s="97" t="s">
        <v>26</v>
      </c>
      <c r="V45" s="97" t="s">
        <v>26</v>
      </c>
      <c r="W45" s="97" t="s">
        <v>26</v>
      </c>
      <c r="X45" s="97" t="s">
        <v>26</v>
      </c>
      <c r="Y45" s="97" t="s">
        <v>26</v>
      </c>
      <c r="Z45" s="95" t="s">
        <v>24</v>
      </c>
      <c r="AA45" s="95" t="s">
        <v>24</v>
      </c>
      <c r="AB45" s="97" t="s">
        <v>26</v>
      </c>
      <c r="AC45" s="97" t="s">
        <v>26</v>
      </c>
      <c r="AD45" s="97" t="s">
        <v>26</v>
      </c>
      <c r="AE45" s="97" t="s">
        <v>26</v>
      </c>
      <c r="AF45" s="97" t="s">
        <v>26</v>
      </c>
      <c r="AG45" s="95" t="s">
        <v>24</v>
      </c>
      <c r="AH45" s="95" t="s">
        <v>24</v>
      </c>
      <c r="AI45" s="98">
        <v>31</v>
      </c>
      <c r="AJ45" s="98">
        <f t="shared" si="3"/>
        <v>19</v>
      </c>
      <c r="AK45" s="98">
        <v>10</v>
      </c>
      <c r="AL45" s="98">
        <v>2</v>
      </c>
      <c r="AM45" s="98"/>
      <c r="AN45" s="98"/>
      <c r="AO45" s="98"/>
      <c r="AP45" s="98"/>
      <c r="AQ45" s="98"/>
      <c r="AR45" s="98"/>
      <c r="AS45" s="98"/>
      <c r="AT45" s="98">
        <f t="shared" si="4"/>
        <v>0</v>
      </c>
      <c r="AU45" s="99"/>
    </row>
    <row r="46" ht="34" customHeight="1" spans="1:47">
      <c r="A46" s="92">
        <f t="shared" si="2"/>
        <v>43</v>
      </c>
      <c r="B46" s="93" t="s">
        <v>99</v>
      </c>
      <c r="C46" s="94" t="s">
        <v>98</v>
      </c>
      <c r="D46" s="95" t="s">
        <v>23</v>
      </c>
      <c r="E46" s="95" t="s">
        <v>23</v>
      </c>
      <c r="F46" s="95" t="s">
        <v>24</v>
      </c>
      <c r="G46" s="95" t="s">
        <v>24</v>
      </c>
      <c r="H46" s="95" t="s">
        <v>24</v>
      </c>
      <c r="I46" s="97" t="s">
        <v>26</v>
      </c>
      <c r="J46" s="97" t="s">
        <v>26</v>
      </c>
      <c r="K46" s="97" t="s">
        <v>26</v>
      </c>
      <c r="L46" s="97" t="s">
        <v>26</v>
      </c>
      <c r="M46" s="95" t="s">
        <v>24</v>
      </c>
      <c r="N46" s="97" t="s">
        <v>26</v>
      </c>
      <c r="O46" s="97" t="s">
        <v>26</v>
      </c>
      <c r="P46" s="97" t="s">
        <v>26</v>
      </c>
      <c r="Q46" s="97" t="s">
        <v>26</v>
      </c>
      <c r="R46" s="97" t="s">
        <v>26</v>
      </c>
      <c r="S46" s="95" t="s">
        <v>24</v>
      </c>
      <c r="T46" s="95" t="s">
        <v>24</v>
      </c>
      <c r="U46" s="97" t="s">
        <v>26</v>
      </c>
      <c r="V46" s="97" t="s">
        <v>26</v>
      </c>
      <c r="W46" s="97" t="s">
        <v>26</v>
      </c>
      <c r="X46" s="97" t="s">
        <v>26</v>
      </c>
      <c r="Y46" s="97" t="s">
        <v>26</v>
      </c>
      <c r="Z46" s="95" t="s">
        <v>24</v>
      </c>
      <c r="AA46" s="95" t="s">
        <v>24</v>
      </c>
      <c r="AB46" s="97" t="s">
        <v>26</v>
      </c>
      <c r="AC46" s="97" t="s">
        <v>26</v>
      </c>
      <c r="AD46" s="97" t="s">
        <v>26</v>
      </c>
      <c r="AE46" s="97" t="s">
        <v>26</v>
      </c>
      <c r="AF46" s="97" t="s">
        <v>26</v>
      </c>
      <c r="AG46" s="95" t="s">
        <v>24</v>
      </c>
      <c r="AH46" s="95" t="s">
        <v>24</v>
      </c>
      <c r="AI46" s="98">
        <v>31</v>
      </c>
      <c r="AJ46" s="98">
        <f t="shared" si="3"/>
        <v>19</v>
      </c>
      <c r="AK46" s="98">
        <v>10</v>
      </c>
      <c r="AL46" s="98">
        <v>2</v>
      </c>
      <c r="AM46" s="98"/>
      <c r="AN46" s="98"/>
      <c r="AO46" s="98"/>
      <c r="AP46" s="98"/>
      <c r="AQ46" s="98"/>
      <c r="AR46" s="98"/>
      <c r="AS46" s="98"/>
      <c r="AT46" s="98">
        <f t="shared" si="4"/>
        <v>0</v>
      </c>
      <c r="AU46" s="99"/>
    </row>
    <row r="47" ht="34" customHeight="1" spans="1:47">
      <c r="A47" s="92">
        <f t="shared" si="2"/>
        <v>44</v>
      </c>
      <c r="B47" s="101" t="s">
        <v>325</v>
      </c>
      <c r="C47" s="94" t="s">
        <v>98</v>
      </c>
      <c r="D47" s="102" t="s">
        <v>34</v>
      </c>
      <c r="E47" s="102" t="s">
        <v>34</v>
      </c>
      <c r="F47" s="102" t="s">
        <v>34</v>
      </c>
      <c r="G47" s="102" t="s">
        <v>34</v>
      </c>
      <c r="H47" s="102" t="s">
        <v>34</v>
      </c>
      <c r="I47" s="97" t="s">
        <v>26</v>
      </c>
      <c r="J47" s="97" t="s">
        <v>26</v>
      </c>
      <c r="K47" s="97" t="s">
        <v>26</v>
      </c>
      <c r="L47" s="97" t="s">
        <v>26</v>
      </c>
      <c r="M47" s="95" t="s">
        <v>24</v>
      </c>
      <c r="N47" s="97" t="s">
        <v>26</v>
      </c>
      <c r="O47" s="97" t="s">
        <v>26</v>
      </c>
      <c r="P47" s="97" t="s">
        <v>26</v>
      </c>
      <c r="Q47" s="97" t="s">
        <v>26</v>
      </c>
      <c r="R47" s="97" t="s">
        <v>26</v>
      </c>
      <c r="S47" s="95" t="s">
        <v>24</v>
      </c>
      <c r="T47" s="95" t="s">
        <v>24</v>
      </c>
      <c r="U47" s="97" t="s">
        <v>26</v>
      </c>
      <c r="V47" s="97" t="s">
        <v>26</v>
      </c>
      <c r="W47" s="97" t="s">
        <v>26</v>
      </c>
      <c r="X47" s="97" t="s">
        <v>26</v>
      </c>
      <c r="Y47" s="97" t="s">
        <v>26</v>
      </c>
      <c r="Z47" s="95" t="s">
        <v>24</v>
      </c>
      <c r="AA47" s="95" t="s">
        <v>24</v>
      </c>
      <c r="AB47" s="97" t="s">
        <v>26</v>
      </c>
      <c r="AC47" s="97" t="s">
        <v>26</v>
      </c>
      <c r="AD47" s="97" t="s">
        <v>26</v>
      </c>
      <c r="AE47" s="97" t="s">
        <v>26</v>
      </c>
      <c r="AF47" s="97" t="s">
        <v>26</v>
      </c>
      <c r="AG47" s="95" t="s">
        <v>24</v>
      </c>
      <c r="AH47" s="95" t="s">
        <v>24</v>
      </c>
      <c r="AI47" s="98">
        <v>31</v>
      </c>
      <c r="AJ47" s="98">
        <f t="shared" si="3"/>
        <v>19</v>
      </c>
      <c r="AK47" s="98">
        <v>10</v>
      </c>
      <c r="AL47" s="98">
        <v>0</v>
      </c>
      <c r="AM47" s="98">
        <v>2</v>
      </c>
      <c r="AN47" s="98"/>
      <c r="AO47" s="98"/>
      <c r="AP47" s="98"/>
      <c r="AQ47" s="98"/>
      <c r="AR47" s="98"/>
      <c r="AS47" s="98"/>
      <c r="AT47" s="98">
        <f t="shared" si="4"/>
        <v>2</v>
      </c>
      <c r="AU47" s="99" t="s">
        <v>326</v>
      </c>
    </row>
    <row r="48" ht="34" customHeight="1" spans="1:47">
      <c r="A48" s="92">
        <f t="shared" si="2"/>
        <v>45</v>
      </c>
      <c r="B48" s="93" t="s">
        <v>101</v>
      </c>
      <c r="C48" s="94" t="s">
        <v>327</v>
      </c>
      <c r="D48" s="95" t="s">
        <v>23</v>
      </c>
      <c r="E48" s="95" t="s">
        <v>23</v>
      </c>
      <c r="F48" s="95" t="s">
        <v>24</v>
      </c>
      <c r="G48" s="95" t="s">
        <v>24</v>
      </c>
      <c r="H48" s="95" t="s">
        <v>24</v>
      </c>
      <c r="I48" s="97" t="s">
        <v>26</v>
      </c>
      <c r="J48" s="97" t="s">
        <v>26</v>
      </c>
      <c r="K48" s="97" t="s">
        <v>26</v>
      </c>
      <c r="L48" s="97" t="s">
        <v>26</v>
      </c>
      <c r="M48" s="95" t="s">
        <v>24</v>
      </c>
      <c r="N48" s="97" t="s">
        <v>26</v>
      </c>
      <c r="O48" s="97" t="s">
        <v>26</v>
      </c>
      <c r="P48" s="97" t="s">
        <v>26</v>
      </c>
      <c r="Q48" s="97" t="s">
        <v>26</v>
      </c>
      <c r="R48" s="97" t="s">
        <v>26</v>
      </c>
      <c r="S48" s="95" t="s">
        <v>24</v>
      </c>
      <c r="T48" s="95" t="s">
        <v>24</v>
      </c>
      <c r="U48" s="97" t="s">
        <v>26</v>
      </c>
      <c r="V48" s="97" t="s">
        <v>26</v>
      </c>
      <c r="W48" s="97" t="s">
        <v>26</v>
      </c>
      <c r="X48" s="97" t="s">
        <v>26</v>
      </c>
      <c r="Y48" s="97" t="s">
        <v>26</v>
      </c>
      <c r="Z48" s="95" t="s">
        <v>24</v>
      </c>
      <c r="AA48" s="95" t="s">
        <v>24</v>
      </c>
      <c r="AB48" s="97" t="s">
        <v>26</v>
      </c>
      <c r="AC48" s="97" t="s">
        <v>26</v>
      </c>
      <c r="AD48" s="97" t="s">
        <v>26</v>
      </c>
      <c r="AE48" s="97" t="s">
        <v>26</v>
      </c>
      <c r="AF48" s="97" t="s">
        <v>26</v>
      </c>
      <c r="AG48" s="95" t="s">
        <v>24</v>
      </c>
      <c r="AH48" s="95" t="s">
        <v>24</v>
      </c>
      <c r="AI48" s="98">
        <v>31</v>
      </c>
      <c r="AJ48" s="98">
        <f t="shared" si="3"/>
        <v>19</v>
      </c>
      <c r="AK48" s="98">
        <v>10</v>
      </c>
      <c r="AL48" s="98">
        <v>2</v>
      </c>
      <c r="AM48" s="98"/>
      <c r="AN48" s="98"/>
      <c r="AO48" s="98"/>
      <c r="AP48" s="98"/>
      <c r="AQ48" s="98"/>
      <c r="AR48" s="98"/>
      <c r="AS48" s="98"/>
      <c r="AT48" s="98">
        <f t="shared" si="4"/>
        <v>0</v>
      </c>
      <c r="AU48" s="99"/>
    </row>
    <row r="49" ht="34" customHeight="1" spans="1:47">
      <c r="A49" s="92">
        <f t="shared" si="2"/>
        <v>46</v>
      </c>
      <c r="B49" s="93" t="s">
        <v>103</v>
      </c>
      <c r="C49" s="94" t="s">
        <v>327</v>
      </c>
      <c r="D49" s="95" t="s">
        <v>23</v>
      </c>
      <c r="E49" s="95" t="s">
        <v>23</v>
      </c>
      <c r="F49" s="95" t="s">
        <v>24</v>
      </c>
      <c r="G49" s="95" t="s">
        <v>24</v>
      </c>
      <c r="H49" s="95" t="s">
        <v>24</v>
      </c>
      <c r="I49" s="97" t="s">
        <v>26</v>
      </c>
      <c r="J49" s="97" t="s">
        <v>26</v>
      </c>
      <c r="K49" s="97" t="s">
        <v>26</v>
      </c>
      <c r="L49" s="97" t="s">
        <v>26</v>
      </c>
      <c r="M49" s="95" t="s">
        <v>24</v>
      </c>
      <c r="N49" s="97" t="s">
        <v>26</v>
      </c>
      <c r="O49" s="97" t="s">
        <v>26</v>
      </c>
      <c r="P49" s="97" t="s">
        <v>26</v>
      </c>
      <c r="Q49" s="97" t="s">
        <v>26</v>
      </c>
      <c r="R49" s="97" t="s">
        <v>26</v>
      </c>
      <c r="S49" s="95" t="s">
        <v>24</v>
      </c>
      <c r="T49" s="95" t="s">
        <v>24</v>
      </c>
      <c r="U49" s="97" t="s">
        <v>26</v>
      </c>
      <c r="V49" s="97" t="s">
        <v>26</v>
      </c>
      <c r="W49" s="97" t="s">
        <v>26</v>
      </c>
      <c r="X49" s="97" t="s">
        <v>26</v>
      </c>
      <c r="Y49" s="97" t="s">
        <v>26</v>
      </c>
      <c r="Z49" s="95" t="s">
        <v>24</v>
      </c>
      <c r="AA49" s="95" t="s">
        <v>24</v>
      </c>
      <c r="AB49" s="97" t="s">
        <v>26</v>
      </c>
      <c r="AC49" s="97" t="s">
        <v>26</v>
      </c>
      <c r="AD49" s="97" t="s">
        <v>26</v>
      </c>
      <c r="AE49" s="97" t="s">
        <v>26</v>
      </c>
      <c r="AF49" s="96" t="s">
        <v>88</v>
      </c>
      <c r="AG49" s="95" t="s">
        <v>24</v>
      </c>
      <c r="AH49" s="95" t="s">
        <v>24</v>
      </c>
      <c r="AI49" s="98">
        <v>31</v>
      </c>
      <c r="AJ49" s="98">
        <f t="shared" si="3"/>
        <v>18</v>
      </c>
      <c r="AK49" s="98">
        <v>10</v>
      </c>
      <c r="AL49" s="98">
        <v>2</v>
      </c>
      <c r="AM49" s="98">
        <v>1</v>
      </c>
      <c r="AN49" s="98"/>
      <c r="AO49" s="98">
        <v>1</v>
      </c>
      <c r="AP49" s="98"/>
      <c r="AQ49" s="98"/>
      <c r="AR49" s="98"/>
      <c r="AS49" s="98"/>
      <c r="AT49" s="98">
        <f t="shared" si="4"/>
        <v>0</v>
      </c>
      <c r="AU49" s="99" t="s">
        <v>89</v>
      </c>
    </row>
    <row r="50" customFormat="1" ht="34" customHeight="1" spans="1:47">
      <c r="A50" s="92">
        <f t="shared" si="2"/>
        <v>47</v>
      </c>
      <c r="B50" s="93" t="s">
        <v>274</v>
      </c>
      <c r="C50" s="94" t="s">
        <v>327</v>
      </c>
      <c r="D50" s="95" t="s">
        <v>23</v>
      </c>
      <c r="E50" s="95" t="s">
        <v>23</v>
      </c>
      <c r="F50" s="95" t="s">
        <v>24</v>
      </c>
      <c r="G50" s="95" t="s">
        <v>24</v>
      </c>
      <c r="H50" s="95" t="s">
        <v>24</v>
      </c>
      <c r="I50" s="97" t="s">
        <v>26</v>
      </c>
      <c r="J50" s="97" t="s">
        <v>26</v>
      </c>
      <c r="K50" s="97" t="s">
        <v>26</v>
      </c>
      <c r="L50" s="97" t="s">
        <v>26</v>
      </c>
      <c r="M50" s="95" t="s">
        <v>24</v>
      </c>
      <c r="N50" s="97" t="s">
        <v>26</v>
      </c>
      <c r="O50" s="97" t="s">
        <v>26</v>
      </c>
      <c r="P50" s="100" t="s">
        <v>25</v>
      </c>
      <c r="Q50" s="97" t="s">
        <v>26</v>
      </c>
      <c r="R50" s="97" t="s">
        <v>26</v>
      </c>
      <c r="S50" s="95" t="s">
        <v>24</v>
      </c>
      <c r="T50" s="95" t="s">
        <v>24</v>
      </c>
      <c r="U50" s="97" t="s">
        <v>26</v>
      </c>
      <c r="V50" s="97" t="s">
        <v>26</v>
      </c>
      <c r="W50" s="97" t="s">
        <v>26</v>
      </c>
      <c r="X50" s="97" t="s">
        <v>26</v>
      </c>
      <c r="Y50" s="97" t="s">
        <v>26</v>
      </c>
      <c r="Z50" s="95" t="s">
        <v>24</v>
      </c>
      <c r="AA50" s="95" t="s">
        <v>24</v>
      </c>
      <c r="AB50" s="97" t="s">
        <v>26</v>
      </c>
      <c r="AC50" s="97" t="s">
        <v>26</v>
      </c>
      <c r="AD50" s="97" t="s">
        <v>26</v>
      </c>
      <c r="AE50" s="97" t="s">
        <v>26</v>
      </c>
      <c r="AF50" s="97" t="s">
        <v>26</v>
      </c>
      <c r="AG50" s="95" t="s">
        <v>24</v>
      </c>
      <c r="AH50" s="95" t="s">
        <v>24</v>
      </c>
      <c r="AI50" s="98">
        <v>31</v>
      </c>
      <c r="AJ50" s="98">
        <f t="shared" si="3"/>
        <v>18</v>
      </c>
      <c r="AK50" s="98">
        <v>10</v>
      </c>
      <c r="AL50" s="98">
        <v>2</v>
      </c>
      <c r="AM50" s="98">
        <v>1</v>
      </c>
      <c r="AN50" s="98"/>
      <c r="AO50" s="98"/>
      <c r="AP50" s="98"/>
      <c r="AQ50" s="98"/>
      <c r="AR50" s="98"/>
      <c r="AS50" s="98"/>
      <c r="AT50" s="98">
        <f t="shared" si="4"/>
        <v>1</v>
      </c>
      <c r="AU50" s="99"/>
    </row>
    <row r="51" customFormat="1" ht="34" customHeight="1" spans="1:47">
      <c r="A51" s="92">
        <f t="shared" si="2"/>
        <v>48</v>
      </c>
      <c r="B51" s="93" t="s">
        <v>107</v>
      </c>
      <c r="C51" s="94" t="s">
        <v>78</v>
      </c>
      <c r="D51" s="95" t="s">
        <v>23</v>
      </c>
      <c r="E51" s="95" t="s">
        <v>23</v>
      </c>
      <c r="F51" s="95" t="s">
        <v>24</v>
      </c>
      <c r="G51" s="95" t="s">
        <v>24</v>
      </c>
      <c r="H51" s="95" t="s">
        <v>24</v>
      </c>
      <c r="I51" s="97" t="s">
        <v>26</v>
      </c>
      <c r="J51" s="97" t="s">
        <v>26</v>
      </c>
      <c r="K51" s="97" t="s">
        <v>26</v>
      </c>
      <c r="L51" s="97" t="s">
        <v>26</v>
      </c>
      <c r="M51" s="95" t="s">
        <v>24</v>
      </c>
      <c r="N51" s="97" t="s">
        <v>26</v>
      </c>
      <c r="O51" s="97" t="s">
        <v>26</v>
      </c>
      <c r="P51" s="97" t="s">
        <v>26</v>
      </c>
      <c r="Q51" s="97" t="s">
        <v>26</v>
      </c>
      <c r="R51" s="97" t="s">
        <v>26</v>
      </c>
      <c r="S51" s="95" t="s">
        <v>24</v>
      </c>
      <c r="T51" s="95" t="s">
        <v>24</v>
      </c>
      <c r="U51" s="97" t="s">
        <v>26</v>
      </c>
      <c r="V51" s="97" t="s">
        <v>26</v>
      </c>
      <c r="W51" s="97" t="s">
        <v>26</v>
      </c>
      <c r="X51" s="97" t="s">
        <v>26</v>
      </c>
      <c r="Y51" s="97" t="s">
        <v>26</v>
      </c>
      <c r="Z51" s="95" t="s">
        <v>24</v>
      </c>
      <c r="AA51" s="95" t="s">
        <v>24</v>
      </c>
      <c r="AB51" s="97" t="s">
        <v>26</v>
      </c>
      <c r="AC51" s="97" t="s">
        <v>26</v>
      </c>
      <c r="AD51" s="97" t="s">
        <v>26</v>
      </c>
      <c r="AE51" s="97" t="s">
        <v>26</v>
      </c>
      <c r="AF51" s="97" t="s">
        <v>26</v>
      </c>
      <c r="AG51" s="95" t="s">
        <v>24</v>
      </c>
      <c r="AH51" s="95" t="s">
        <v>24</v>
      </c>
      <c r="AI51" s="98">
        <v>31</v>
      </c>
      <c r="AJ51" s="98">
        <f t="shared" si="3"/>
        <v>19</v>
      </c>
      <c r="AK51" s="98">
        <v>10</v>
      </c>
      <c r="AL51" s="98">
        <v>2</v>
      </c>
      <c r="AM51" s="98"/>
      <c r="AN51" s="98"/>
      <c r="AO51" s="98"/>
      <c r="AP51" s="98"/>
      <c r="AQ51" s="98"/>
      <c r="AR51" s="98"/>
      <c r="AS51" s="98"/>
      <c r="AT51" s="98">
        <f t="shared" si="4"/>
        <v>0</v>
      </c>
      <c r="AU51" s="99"/>
    </row>
    <row r="52" ht="34" customHeight="1" spans="1:47">
      <c r="A52" s="92">
        <f t="shared" si="2"/>
        <v>49</v>
      </c>
      <c r="B52" s="93" t="s">
        <v>57</v>
      </c>
      <c r="C52" s="94" t="s">
        <v>78</v>
      </c>
      <c r="D52" s="95" t="s">
        <v>23</v>
      </c>
      <c r="E52" s="95" t="s">
        <v>23</v>
      </c>
      <c r="F52" s="95" t="s">
        <v>24</v>
      </c>
      <c r="G52" s="95" t="s">
        <v>24</v>
      </c>
      <c r="H52" s="95" t="s">
        <v>24</v>
      </c>
      <c r="I52" s="100" t="s">
        <v>25</v>
      </c>
      <c r="J52" s="97" t="s">
        <v>26</v>
      </c>
      <c r="K52" s="97" t="s">
        <v>26</v>
      </c>
      <c r="L52" s="97" t="s">
        <v>26</v>
      </c>
      <c r="M52" s="95" t="s">
        <v>24</v>
      </c>
      <c r="N52" s="100" t="s">
        <v>328</v>
      </c>
      <c r="O52" s="97" t="s">
        <v>26</v>
      </c>
      <c r="P52" s="97" t="s">
        <v>26</v>
      </c>
      <c r="Q52" s="97" t="s">
        <v>26</v>
      </c>
      <c r="R52" s="97" t="s">
        <v>26</v>
      </c>
      <c r="S52" s="95" t="s">
        <v>24</v>
      </c>
      <c r="T52" s="95" t="s">
        <v>24</v>
      </c>
      <c r="U52" s="97" t="s">
        <v>26</v>
      </c>
      <c r="V52" s="97" t="s">
        <v>26</v>
      </c>
      <c r="W52" s="97" t="s">
        <v>26</v>
      </c>
      <c r="X52" s="97" t="s">
        <v>26</v>
      </c>
      <c r="Y52" s="97" t="s">
        <v>26</v>
      </c>
      <c r="Z52" s="95" t="s">
        <v>24</v>
      </c>
      <c r="AA52" s="95" t="s">
        <v>24</v>
      </c>
      <c r="AB52" s="97" t="s">
        <v>26</v>
      </c>
      <c r="AC52" s="97" t="s">
        <v>26</v>
      </c>
      <c r="AD52" s="97" t="s">
        <v>26</v>
      </c>
      <c r="AE52" s="97" t="s">
        <v>26</v>
      </c>
      <c r="AF52" s="97" t="s">
        <v>26</v>
      </c>
      <c r="AG52" s="95" t="s">
        <v>24</v>
      </c>
      <c r="AH52" s="95" t="s">
        <v>24</v>
      </c>
      <c r="AI52" s="98">
        <v>31</v>
      </c>
      <c r="AJ52" s="98">
        <f t="shared" si="3"/>
        <v>17</v>
      </c>
      <c r="AK52" s="98">
        <v>10</v>
      </c>
      <c r="AL52" s="98">
        <v>2</v>
      </c>
      <c r="AM52" s="98">
        <v>2</v>
      </c>
      <c r="AN52" s="98"/>
      <c r="AO52" s="98">
        <v>0.13</v>
      </c>
      <c r="AP52" s="98"/>
      <c r="AQ52" s="98"/>
      <c r="AR52" s="98"/>
      <c r="AS52" s="98"/>
      <c r="AT52" s="98">
        <f t="shared" si="4"/>
        <v>1.87</v>
      </c>
      <c r="AU52" s="99" t="s">
        <v>71</v>
      </c>
    </row>
    <row r="53" customFormat="1" ht="35" customHeight="1" spans="1:47">
      <c r="A53" s="92">
        <f t="shared" si="2"/>
        <v>50</v>
      </c>
      <c r="B53" s="93" t="s">
        <v>110</v>
      </c>
      <c r="C53" s="94" t="s">
        <v>329</v>
      </c>
      <c r="D53" s="95" t="s">
        <v>23</v>
      </c>
      <c r="E53" s="95" t="s">
        <v>23</v>
      </c>
      <c r="F53" s="95" t="s">
        <v>24</v>
      </c>
      <c r="G53" s="95" t="s">
        <v>24</v>
      </c>
      <c r="H53" s="95" t="s">
        <v>24</v>
      </c>
      <c r="I53" s="97" t="s">
        <v>26</v>
      </c>
      <c r="J53" s="97" t="s">
        <v>26</v>
      </c>
      <c r="K53" s="97" t="s">
        <v>26</v>
      </c>
      <c r="L53" s="97" t="s">
        <v>26</v>
      </c>
      <c r="M53" s="95" t="s">
        <v>24</v>
      </c>
      <c r="N53" s="97" t="s">
        <v>26</v>
      </c>
      <c r="O53" s="97" t="s">
        <v>26</v>
      </c>
      <c r="P53" s="97" t="s">
        <v>26</v>
      </c>
      <c r="Q53" s="97" t="s">
        <v>26</v>
      </c>
      <c r="R53" s="97" t="s">
        <v>26</v>
      </c>
      <c r="S53" s="95" t="s">
        <v>24</v>
      </c>
      <c r="T53" s="95" t="s">
        <v>24</v>
      </c>
      <c r="U53" s="97" t="s">
        <v>26</v>
      </c>
      <c r="V53" s="97" t="s">
        <v>26</v>
      </c>
      <c r="W53" s="97" t="s">
        <v>26</v>
      </c>
      <c r="X53" s="97" t="s">
        <v>26</v>
      </c>
      <c r="Y53" s="97" t="s">
        <v>26</v>
      </c>
      <c r="Z53" s="95" t="s">
        <v>24</v>
      </c>
      <c r="AA53" s="95" t="s">
        <v>24</v>
      </c>
      <c r="AB53" s="97" t="s">
        <v>26</v>
      </c>
      <c r="AC53" s="97" t="s">
        <v>26</v>
      </c>
      <c r="AD53" s="97" t="s">
        <v>26</v>
      </c>
      <c r="AE53" s="97" t="s">
        <v>26</v>
      </c>
      <c r="AF53" s="97" t="s">
        <v>26</v>
      </c>
      <c r="AG53" s="95" t="s">
        <v>24</v>
      </c>
      <c r="AH53" s="95" t="s">
        <v>24</v>
      </c>
      <c r="AI53" s="98">
        <v>31</v>
      </c>
      <c r="AJ53" s="98">
        <f t="shared" si="3"/>
        <v>19</v>
      </c>
      <c r="AK53" s="98">
        <v>10</v>
      </c>
      <c r="AL53" s="98">
        <v>2</v>
      </c>
      <c r="AM53" s="98"/>
      <c r="AN53" s="98"/>
      <c r="AO53" s="98"/>
      <c r="AP53" s="98"/>
      <c r="AQ53" s="98"/>
      <c r="AR53" s="98"/>
      <c r="AS53" s="98"/>
      <c r="AT53" s="98">
        <f t="shared" si="4"/>
        <v>0</v>
      </c>
      <c r="AU53" s="99"/>
    </row>
    <row r="54" customFormat="1" ht="34" customHeight="1" spans="1:47">
      <c r="A54" s="92">
        <f t="shared" si="2"/>
        <v>51</v>
      </c>
      <c r="B54" s="93" t="s">
        <v>330</v>
      </c>
      <c r="C54" s="94" t="s">
        <v>112</v>
      </c>
      <c r="D54" s="95" t="s">
        <v>23</v>
      </c>
      <c r="E54" s="95" t="s">
        <v>23</v>
      </c>
      <c r="F54" s="95" t="s">
        <v>24</v>
      </c>
      <c r="G54" s="95" t="s">
        <v>24</v>
      </c>
      <c r="H54" s="95" t="s">
        <v>24</v>
      </c>
      <c r="I54" s="97" t="s">
        <v>26</v>
      </c>
      <c r="J54" s="97" t="s">
        <v>26</v>
      </c>
      <c r="K54" s="97" t="s">
        <v>26</v>
      </c>
      <c r="L54" s="97" t="s">
        <v>26</v>
      </c>
      <c r="M54" s="95" t="s">
        <v>24</v>
      </c>
      <c r="N54" s="100" t="s">
        <v>137</v>
      </c>
      <c r="O54" s="97" t="s">
        <v>26</v>
      </c>
      <c r="P54" s="97" t="s">
        <v>26</v>
      </c>
      <c r="Q54" s="97" t="s">
        <v>26</v>
      </c>
      <c r="R54" s="97" t="s">
        <v>26</v>
      </c>
      <c r="S54" s="95" t="s">
        <v>24</v>
      </c>
      <c r="T54" s="95" t="s">
        <v>24</v>
      </c>
      <c r="U54" s="97" t="s">
        <v>26</v>
      </c>
      <c r="V54" s="97" t="s">
        <v>26</v>
      </c>
      <c r="W54" s="97" t="s">
        <v>26</v>
      </c>
      <c r="X54" s="97" t="s">
        <v>26</v>
      </c>
      <c r="Y54" s="97" t="s">
        <v>26</v>
      </c>
      <c r="Z54" s="95" t="s">
        <v>24</v>
      </c>
      <c r="AA54" s="95" t="s">
        <v>24</v>
      </c>
      <c r="AB54" s="97" t="s">
        <v>26</v>
      </c>
      <c r="AC54" s="97" t="s">
        <v>26</v>
      </c>
      <c r="AD54" s="97" t="s">
        <v>26</v>
      </c>
      <c r="AE54" s="97" t="s">
        <v>26</v>
      </c>
      <c r="AF54" s="97" t="s">
        <v>26</v>
      </c>
      <c r="AG54" s="95" t="s">
        <v>24</v>
      </c>
      <c r="AH54" s="95" t="s">
        <v>24</v>
      </c>
      <c r="AI54" s="98">
        <v>31</v>
      </c>
      <c r="AJ54" s="98">
        <f t="shared" si="3"/>
        <v>18.75</v>
      </c>
      <c r="AK54" s="98">
        <v>10</v>
      </c>
      <c r="AL54" s="98">
        <v>2</v>
      </c>
      <c r="AM54" s="98">
        <v>0.25</v>
      </c>
      <c r="AN54" s="98"/>
      <c r="AO54" s="98"/>
      <c r="AP54" s="98"/>
      <c r="AQ54" s="98"/>
      <c r="AR54" s="98"/>
      <c r="AS54" s="98"/>
      <c r="AT54" s="98">
        <f t="shared" si="4"/>
        <v>0.25</v>
      </c>
      <c r="AU54" s="99"/>
    </row>
    <row r="55" customFormat="1" ht="34" customHeight="1" spans="1:47">
      <c r="A55" s="92">
        <f t="shared" si="2"/>
        <v>52</v>
      </c>
      <c r="B55" s="93" t="s">
        <v>331</v>
      </c>
      <c r="C55" s="94" t="s">
        <v>112</v>
      </c>
      <c r="D55" s="95" t="s">
        <v>23</v>
      </c>
      <c r="E55" s="95" t="s">
        <v>23</v>
      </c>
      <c r="F55" s="95" t="s">
        <v>24</v>
      </c>
      <c r="G55" s="95" t="s">
        <v>24</v>
      </c>
      <c r="H55" s="95" t="s">
        <v>24</v>
      </c>
      <c r="I55" s="97" t="s">
        <v>26</v>
      </c>
      <c r="J55" s="97" t="s">
        <v>26</v>
      </c>
      <c r="K55" s="97" t="s">
        <v>26</v>
      </c>
      <c r="L55" s="97" t="s">
        <v>26</v>
      </c>
      <c r="M55" s="95" t="s">
        <v>24</v>
      </c>
      <c r="N55" s="97" t="s">
        <v>26</v>
      </c>
      <c r="O55" s="97" t="s">
        <v>26</v>
      </c>
      <c r="P55" s="97" t="s">
        <v>26</v>
      </c>
      <c r="Q55" s="97" t="s">
        <v>26</v>
      </c>
      <c r="R55" s="97" t="s">
        <v>26</v>
      </c>
      <c r="S55" s="95" t="s">
        <v>24</v>
      </c>
      <c r="T55" s="95" t="s">
        <v>24</v>
      </c>
      <c r="U55" s="97" t="s">
        <v>26</v>
      </c>
      <c r="V55" s="97" t="s">
        <v>26</v>
      </c>
      <c r="W55" s="97" t="s">
        <v>26</v>
      </c>
      <c r="X55" s="97" t="s">
        <v>26</v>
      </c>
      <c r="Y55" s="97" t="s">
        <v>26</v>
      </c>
      <c r="Z55" s="95" t="s">
        <v>24</v>
      </c>
      <c r="AA55" s="95" t="s">
        <v>24</v>
      </c>
      <c r="AB55" s="97" t="s">
        <v>26</v>
      </c>
      <c r="AC55" s="97" t="s">
        <v>26</v>
      </c>
      <c r="AD55" s="97" t="s">
        <v>26</v>
      </c>
      <c r="AE55" s="97" t="s">
        <v>26</v>
      </c>
      <c r="AF55" s="97" t="s">
        <v>26</v>
      </c>
      <c r="AG55" s="95" t="s">
        <v>24</v>
      </c>
      <c r="AH55" s="95" t="s">
        <v>24</v>
      </c>
      <c r="AI55" s="98">
        <v>31</v>
      </c>
      <c r="AJ55" s="98">
        <f t="shared" si="3"/>
        <v>19</v>
      </c>
      <c r="AK55" s="98">
        <v>10</v>
      </c>
      <c r="AL55" s="98">
        <v>2</v>
      </c>
      <c r="AM55" s="98"/>
      <c r="AN55" s="98"/>
      <c r="AO55" s="98"/>
      <c r="AP55" s="98"/>
      <c r="AQ55" s="98"/>
      <c r="AR55" s="98"/>
      <c r="AS55" s="98"/>
      <c r="AT55" s="98">
        <f t="shared" si="4"/>
        <v>0</v>
      </c>
      <c r="AU55" s="99"/>
    </row>
    <row r="56" customFormat="1" ht="34" customHeight="1" spans="1:47">
      <c r="A56" s="92">
        <f t="shared" si="2"/>
        <v>53</v>
      </c>
      <c r="B56" s="93" t="s">
        <v>332</v>
      </c>
      <c r="C56" s="94" t="s">
        <v>112</v>
      </c>
      <c r="D56" s="95" t="s">
        <v>23</v>
      </c>
      <c r="E56" s="95" t="s">
        <v>23</v>
      </c>
      <c r="F56" s="95" t="s">
        <v>24</v>
      </c>
      <c r="G56" s="95" t="s">
        <v>24</v>
      </c>
      <c r="H56" s="95" t="s">
        <v>24</v>
      </c>
      <c r="I56" s="97" t="s">
        <v>26</v>
      </c>
      <c r="J56" s="97" t="s">
        <v>26</v>
      </c>
      <c r="K56" s="97" t="s">
        <v>26</v>
      </c>
      <c r="L56" s="97" t="s">
        <v>26</v>
      </c>
      <c r="M56" s="95" t="s">
        <v>24</v>
      </c>
      <c r="N56" s="97" t="s">
        <v>26</v>
      </c>
      <c r="O56" s="97" t="s">
        <v>26</v>
      </c>
      <c r="P56" s="97" t="s">
        <v>26</v>
      </c>
      <c r="Q56" s="97" t="s">
        <v>26</v>
      </c>
      <c r="R56" s="97" t="s">
        <v>26</v>
      </c>
      <c r="S56" s="95" t="s">
        <v>24</v>
      </c>
      <c r="T56" s="95" t="s">
        <v>24</v>
      </c>
      <c r="U56" s="97" t="s">
        <v>26</v>
      </c>
      <c r="V56" s="97" t="s">
        <v>26</v>
      </c>
      <c r="W56" s="97" t="s">
        <v>26</v>
      </c>
      <c r="X56" s="97" t="s">
        <v>26</v>
      </c>
      <c r="Y56" s="97" t="s">
        <v>26</v>
      </c>
      <c r="Z56" s="95" t="s">
        <v>24</v>
      </c>
      <c r="AA56" s="95" t="s">
        <v>24</v>
      </c>
      <c r="AB56" s="97" t="s">
        <v>26</v>
      </c>
      <c r="AC56" s="97" t="s">
        <v>26</v>
      </c>
      <c r="AD56" s="97" t="s">
        <v>26</v>
      </c>
      <c r="AE56" s="97" t="s">
        <v>26</v>
      </c>
      <c r="AF56" s="97" t="s">
        <v>26</v>
      </c>
      <c r="AG56" s="95" t="s">
        <v>24</v>
      </c>
      <c r="AH56" s="95" t="s">
        <v>24</v>
      </c>
      <c r="AI56" s="98">
        <v>31</v>
      </c>
      <c r="AJ56" s="98">
        <f t="shared" si="3"/>
        <v>19</v>
      </c>
      <c r="AK56" s="98">
        <v>10</v>
      </c>
      <c r="AL56" s="98">
        <v>2</v>
      </c>
      <c r="AM56" s="98"/>
      <c r="AN56" s="98"/>
      <c r="AO56" s="98"/>
      <c r="AP56" s="98"/>
      <c r="AQ56" s="98"/>
      <c r="AR56" s="98"/>
      <c r="AS56" s="98"/>
      <c r="AT56" s="98">
        <f t="shared" si="4"/>
        <v>0</v>
      </c>
      <c r="AU56" s="99"/>
    </row>
    <row r="57" ht="34" customHeight="1" spans="1:47">
      <c r="A57" s="92">
        <f t="shared" si="2"/>
        <v>54</v>
      </c>
      <c r="B57" s="93" t="s">
        <v>115</v>
      </c>
      <c r="C57" s="94" t="s">
        <v>333</v>
      </c>
      <c r="D57" s="95" t="s">
        <v>23</v>
      </c>
      <c r="E57" s="95" t="s">
        <v>23</v>
      </c>
      <c r="F57" s="95" t="s">
        <v>24</v>
      </c>
      <c r="G57" s="95" t="s">
        <v>24</v>
      </c>
      <c r="H57" s="95" t="s">
        <v>24</v>
      </c>
      <c r="I57" s="97" t="s">
        <v>26</v>
      </c>
      <c r="J57" s="97" t="s">
        <v>26</v>
      </c>
      <c r="K57" s="97" t="s">
        <v>26</v>
      </c>
      <c r="L57" s="97" t="s">
        <v>26</v>
      </c>
      <c r="M57" s="95" t="s">
        <v>24</v>
      </c>
      <c r="N57" s="97" t="s">
        <v>26</v>
      </c>
      <c r="O57" s="97" t="s">
        <v>26</v>
      </c>
      <c r="P57" s="97" t="s">
        <v>26</v>
      </c>
      <c r="Q57" s="97" t="s">
        <v>26</v>
      </c>
      <c r="R57" s="97" t="s">
        <v>26</v>
      </c>
      <c r="S57" s="95" t="s">
        <v>24</v>
      </c>
      <c r="T57" s="95" t="s">
        <v>24</v>
      </c>
      <c r="U57" s="97" t="s">
        <v>26</v>
      </c>
      <c r="V57" s="97" t="s">
        <v>26</v>
      </c>
      <c r="W57" s="97" t="s">
        <v>26</v>
      </c>
      <c r="X57" s="97" t="s">
        <v>26</v>
      </c>
      <c r="Y57" s="97" t="s">
        <v>26</v>
      </c>
      <c r="Z57" s="95" t="s">
        <v>24</v>
      </c>
      <c r="AA57" s="95" t="s">
        <v>24</v>
      </c>
      <c r="AB57" s="97" t="s">
        <v>26</v>
      </c>
      <c r="AC57" s="97" t="s">
        <v>26</v>
      </c>
      <c r="AD57" s="97" t="s">
        <v>26</v>
      </c>
      <c r="AE57" s="97" t="s">
        <v>26</v>
      </c>
      <c r="AF57" s="97" t="s">
        <v>26</v>
      </c>
      <c r="AG57" s="95" t="s">
        <v>24</v>
      </c>
      <c r="AH57" s="95" t="s">
        <v>24</v>
      </c>
      <c r="AI57" s="98">
        <v>31</v>
      </c>
      <c r="AJ57" s="98">
        <f t="shared" si="3"/>
        <v>19</v>
      </c>
      <c r="AK57" s="98">
        <v>10</v>
      </c>
      <c r="AL57" s="98">
        <v>2</v>
      </c>
      <c r="AM57" s="98"/>
      <c r="AN57" s="98"/>
      <c r="AO57" s="98"/>
      <c r="AP57" s="98"/>
      <c r="AQ57" s="98"/>
      <c r="AR57" s="98"/>
      <c r="AS57" s="98"/>
      <c r="AT57" s="98">
        <f t="shared" si="4"/>
        <v>0</v>
      </c>
      <c r="AU57" s="99"/>
    </row>
    <row r="58" customFormat="1" ht="34" customHeight="1" spans="1:47">
      <c r="A58" s="92">
        <f t="shared" si="2"/>
        <v>55</v>
      </c>
      <c r="B58" s="93" t="s">
        <v>117</v>
      </c>
      <c r="C58" s="94" t="s">
        <v>333</v>
      </c>
      <c r="D58" s="95" t="s">
        <v>23</v>
      </c>
      <c r="E58" s="95" t="s">
        <v>23</v>
      </c>
      <c r="F58" s="95" t="s">
        <v>24</v>
      </c>
      <c r="G58" s="95" t="s">
        <v>24</v>
      </c>
      <c r="H58" s="95" t="s">
        <v>24</v>
      </c>
      <c r="I58" s="97" t="s">
        <v>26</v>
      </c>
      <c r="J58" s="97" t="s">
        <v>26</v>
      </c>
      <c r="K58" s="97" t="s">
        <v>26</v>
      </c>
      <c r="L58" s="97" t="s">
        <v>26</v>
      </c>
      <c r="M58" s="95" t="s">
        <v>24</v>
      </c>
      <c r="N58" s="97" t="s">
        <v>26</v>
      </c>
      <c r="O58" s="97" t="s">
        <v>26</v>
      </c>
      <c r="P58" s="97" t="s">
        <v>26</v>
      </c>
      <c r="Q58" s="97" t="s">
        <v>26</v>
      </c>
      <c r="R58" s="97" t="s">
        <v>26</v>
      </c>
      <c r="S58" s="95" t="s">
        <v>24</v>
      </c>
      <c r="T58" s="95" t="s">
        <v>24</v>
      </c>
      <c r="U58" s="97" t="s">
        <v>26</v>
      </c>
      <c r="V58" s="96" t="s">
        <v>334</v>
      </c>
      <c r="W58" s="96" t="s">
        <v>88</v>
      </c>
      <c r="X58" s="97" t="s">
        <v>26</v>
      </c>
      <c r="Y58" s="97" t="s">
        <v>26</v>
      </c>
      <c r="Z58" s="95" t="s">
        <v>24</v>
      </c>
      <c r="AA58" s="95" t="s">
        <v>24</v>
      </c>
      <c r="AB58" s="97" t="s">
        <v>26</v>
      </c>
      <c r="AC58" s="97" t="s">
        <v>26</v>
      </c>
      <c r="AD58" s="97" t="s">
        <v>26</v>
      </c>
      <c r="AE58" s="97" t="s">
        <v>26</v>
      </c>
      <c r="AF58" s="97" t="s">
        <v>26</v>
      </c>
      <c r="AG58" s="95" t="s">
        <v>24</v>
      </c>
      <c r="AH58" s="95" t="s">
        <v>24</v>
      </c>
      <c r="AI58" s="98">
        <v>31</v>
      </c>
      <c r="AJ58" s="98">
        <f t="shared" si="3"/>
        <v>17.25</v>
      </c>
      <c r="AK58" s="98">
        <v>10</v>
      </c>
      <c r="AL58" s="98">
        <v>2</v>
      </c>
      <c r="AM58" s="98">
        <v>1.75</v>
      </c>
      <c r="AN58" s="98"/>
      <c r="AO58" s="98">
        <v>1.75</v>
      </c>
      <c r="AP58" s="98"/>
      <c r="AQ58" s="98"/>
      <c r="AR58" s="98"/>
      <c r="AS58" s="98"/>
      <c r="AT58" s="98">
        <f t="shared" si="4"/>
        <v>0</v>
      </c>
      <c r="AU58" s="99" t="s">
        <v>335</v>
      </c>
    </row>
    <row r="59" ht="38" customHeight="1" spans="1:47">
      <c r="A59" s="92">
        <f t="shared" si="2"/>
        <v>56</v>
      </c>
      <c r="B59" s="93" t="s">
        <v>118</v>
      </c>
      <c r="C59" s="94" t="s">
        <v>333</v>
      </c>
      <c r="D59" s="95" t="s">
        <v>23</v>
      </c>
      <c r="E59" s="95" t="s">
        <v>23</v>
      </c>
      <c r="F59" s="95" t="s">
        <v>24</v>
      </c>
      <c r="G59" s="95" t="s">
        <v>24</v>
      </c>
      <c r="H59" s="95" t="s">
        <v>24</v>
      </c>
      <c r="I59" s="97" t="s">
        <v>26</v>
      </c>
      <c r="J59" s="97" t="s">
        <v>26</v>
      </c>
      <c r="K59" s="97" t="s">
        <v>26</v>
      </c>
      <c r="L59" s="97" t="s">
        <v>26</v>
      </c>
      <c r="M59" s="95" t="s">
        <v>24</v>
      </c>
      <c r="N59" s="97" t="s">
        <v>26</v>
      </c>
      <c r="O59" s="97" t="s">
        <v>26</v>
      </c>
      <c r="P59" s="97" t="s">
        <v>26</v>
      </c>
      <c r="Q59" s="97" t="s">
        <v>26</v>
      </c>
      <c r="R59" s="97" t="s">
        <v>26</v>
      </c>
      <c r="S59" s="95" t="s">
        <v>24</v>
      </c>
      <c r="T59" s="95" t="s">
        <v>24</v>
      </c>
      <c r="U59" s="97" t="s">
        <v>26</v>
      </c>
      <c r="V59" s="96" t="s">
        <v>70</v>
      </c>
      <c r="W59" s="97" t="s">
        <v>26</v>
      </c>
      <c r="X59" s="97" t="s">
        <v>26</v>
      </c>
      <c r="Y59" s="97" t="s">
        <v>26</v>
      </c>
      <c r="Z59" s="95" t="s">
        <v>24</v>
      </c>
      <c r="AA59" s="95" t="s">
        <v>24</v>
      </c>
      <c r="AB59" s="97" t="s">
        <v>26</v>
      </c>
      <c r="AC59" s="97" t="s">
        <v>26</v>
      </c>
      <c r="AD59" s="97" t="s">
        <v>26</v>
      </c>
      <c r="AE59" s="97" t="s">
        <v>26</v>
      </c>
      <c r="AF59" s="97" t="s">
        <v>26</v>
      </c>
      <c r="AG59" s="95" t="s">
        <v>24</v>
      </c>
      <c r="AH59" s="95" t="s">
        <v>24</v>
      </c>
      <c r="AI59" s="98">
        <v>31</v>
      </c>
      <c r="AJ59" s="98">
        <f t="shared" si="3"/>
        <v>18.87</v>
      </c>
      <c r="AK59" s="98">
        <v>10</v>
      </c>
      <c r="AL59" s="98">
        <v>2</v>
      </c>
      <c r="AM59" s="98">
        <v>0.13</v>
      </c>
      <c r="AN59" s="98"/>
      <c r="AO59" s="98">
        <v>0.13</v>
      </c>
      <c r="AP59" s="98"/>
      <c r="AQ59" s="98"/>
      <c r="AR59" s="98"/>
      <c r="AS59" s="98"/>
      <c r="AT59" s="98">
        <f t="shared" si="4"/>
        <v>0</v>
      </c>
      <c r="AU59" s="99" t="s">
        <v>71</v>
      </c>
    </row>
    <row r="60" customFormat="1" ht="34" customHeight="1" spans="1:47">
      <c r="A60" s="92">
        <f t="shared" si="2"/>
        <v>57</v>
      </c>
      <c r="B60" s="93" t="s">
        <v>121</v>
      </c>
      <c r="C60" s="94" t="s">
        <v>333</v>
      </c>
      <c r="D60" s="95" t="s">
        <v>23</v>
      </c>
      <c r="E60" s="95" t="s">
        <v>23</v>
      </c>
      <c r="F60" s="95" t="s">
        <v>24</v>
      </c>
      <c r="G60" s="95" t="s">
        <v>24</v>
      </c>
      <c r="H60" s="95" t="s">
        <v>24</v>
      </c>
      <c r="I60" s="97" t="s">
        <v>26</v>
      </c>
      <c r="J60" s="97" t="s">
        <v>26</v>
      </c>
      <c r="K60" s="97" t="s">
        <v>26</v>
      </c>
      <c r="L60" s="97" t="s">
        <v>26</v>
      </c>
      <c r="M60" s="95" t="s">
        <v>24</v>
      </c>
      <c r="N60" s="97" t="s">
        <v>26</v>
      </c>
      <c r="O60" s="97" t="s">
        <v>26</v>
      </c>
      <c r="P60" s="97" t="s">
        <v>26</v>
      </c>
      <c r="Q60" s="97" t="s">
        <v>26</v>
      </c>
      <c r="R60" s="97" t="s">
        <v>26</v>
      </c>
      <c r="S60" s="95" t="s">
        <v>24</v>
      </c>
      <c r="T60" s="95" t="s">
        <v>24</v>
      </c>
      <c r="U60" s="97" t="s">
        <v>26</v>
      </c>
      <c r="V60" s="97" t="s">
        <v>26</v>
      </c>
      <c r="W60" s="97" t="s">
        <v>26</v>
      </c>
      <c r="X60" s="97" t="s">
        <v>26</v>
      </c>
      <c r="Y60" s="97" t="s">
        <v>26</v>
      </c>
      <c r="Z60" s="95" t="s">
        <v>24</v>
      </c>
      <c r="AA60" s="95" t="s">
        <v>24</v>
      </c>
      <c r="AB60" s="97" t="s">
        <v>26</v>
      </c>
      <c r="AC60" s="97" t="s">
        <v>26</v>
      </c>
      <c r="AD60" s="97" t="s">
        <v>26</v>
      </c>
      <c r="AE60" s="97" t="s">
        <v>26</v>
      </c>
      <c r="AF60" s="97" t="s">
        <v>26</v>
      </c>
      <c r="AG60" s="95" t="s">
        <v>24</v>
      </c>
      <c r="AH60" s="95" t="s">
        <v>24</v>
      </c>
      <c r="AI60" s="98">
        <v>31</v>
      </c>
      <c r="AJ60" s="98">
        <f t="shared" si="3"/>
        <v>19</v>
      </c>
      <c r="AK60" s="98">
        <v>10</v>
      </c>
      <c r="AL60" s="98">
        <v>2</v>
      </c>
      <c r="AM60" s="98"/>
      <c r="AN60" s="98"/>
      <c r="AO60" s="98"/>
      <c r="AP60" s="98"/>
      <c r="AQ60" s="98"/>
      <c r="AR60" s="98"/>
      <c r="AS60" s="98"/>
      <c r="AT60" s="98">
        <f t="shared" si="4"/>
        <v>0</v>
      </c>
      <c r="AU60" s="99"/>
    </row>
    <row r="61" ht="34" customHeight="1" spans="1:47">
      <c r="A61" s="92">
        <f t="shared" si="2"/>
        <v>58</v>
      </c>
      <c r="B61" s="93" t="s">
        <v>122</v>
      </c>
      <c r="C61" s="94" t="s">
        <v>333</v>
      </c>
      <c r="D61" s="95" t="s">
        <v>23</v>
      </c>
      <c r="E61" s="95" t="s">
        <v>23</v>
      </c>
      <c r="F61" s="95" t="s">
        <v>24</v>
      </c>
      <c r="G61" s="95" t="s">
        <v>24</v>
      </c>
      <c r="H61" s="95" t="s">
        <v>24</v>
      </c>
      <c r="I61" s="97" t="s">
        <v>26</v>
      </c>
      <c r="J61" s="97" t="s">
        <v>26</v>
      </c>
      <c r="K61" s="97" t="s">
        <v>26</v>
      </c>
      <c r="L61" s="97" t="s">
        <v>26</v>
      </c>
      <c r="M61" s="95" t="s">
        <v>24</v>
      </c>
      <c r="N61" s="97" t="s">
        <v>26</v>
      </c>
      <c r="O61" s="97" t="s">
        <v>26</v>
      </c>
      <c r="P61" s="97" t="s">
        <v>26</v>
      </c>
      <c r="Q61" s="97" t="s">
        <v>26</v>
      </c>
      <c r="R61" s="97" t="s">
        <v>26</v>
      </c>
      <c r="S61" s="95" t="s">
        <v>24</v>
      </c>
      <c r="T61" s="95" t="s">
        <v>24</v>
      </c>
      <c r="U61" s="97" t="s">
        <v>26</v>
      </c>
      <c r="V61" s="97" t="s">
        <v>26</v>
      </c>
      <c r="W61" s="97" t="s">
        <v>26</v>
      </c>
      <c r="X61" s="97" t="s">
        <v>26</v>
      </c>
      <c r="Y61" s="97" t="s">
        <v>26</v>
      </c>
      <c r="Z61" s="95" t="s">
        <v>24</v>
      </c>
      <c r="AA61" s="95" t="s">
        <v>24</v>
      </c>
      <c r="AB61" s="97" t="s">
        <v>26</v>
      </c>
      <c r="AC61" s="97" t="s">
        <v>26</v>
      </c>
      <c r="AD61" s="97" t="s">
        <v>26</v>
      </c>
      <c r="AE61" s="97" t="s">
        <v>26</v>
      </c>
      <c r="AF61" s="97" t="s">
        <v>26</v>
      </c>
      <c r="AG61" s="95" t="s">
        <v>24</v>
      </c>
      <c r="AH61" s="95" t="s">
        <v>24</v>
      </c>
      <c r="AI61" s="98">
        <v>31</v>
      </c>
      <c r="AJ61" s="98">
        <f t="shared" si="3"/>
        <v>19</v>
      </c>
      <c r="AK61" s="98">
        <v>10</v>
      </c>
      <c r="AL61" s="98">
        <v>2</v>
      </c>
      <c r="AM61" s="98"/>
      <c r="AN61" s="98"/>
      <c r="AO61" s="98"/>
      <c r="AP61" s="98"/>
      <c r="AQ61" s="98"/>
      <c r="AR61" s="98"/>
      <c r="AS61" s="98"/>
      <c r="AT61" s="98">
        <f t="shared" si="4"/>
        <v>0</v>
      </c>
      <c r="AU61" s="99"/>
    </row>
    <row r="62" ht="36" customHeight="1" spans="1:47">
      <c r="A62" s="92">
        <f t="shared" si="2"/>
        <v>59</v>
      </c>
      <c r="B62" s="93" t="s">
        <v>123</v>
      </c>
      <c r="C62" s="94" t="s">
        <v>333</v>
      </c>
      <c r="D62" s="107" t="s">
        <v>336</v>
      </c>
      <c r="E62" s="107" t="s">
        <v>336</v>
      </c>
      <c r="F62" s="107" t="s">
        <v>336</v>
      </c>
      <c r="G62" s="107" t="s">
        <v>336</v>
      </c>
      <c r="H62" s="107" t="s">
        <v>336</v>
      </c>
      <c r="I62" s="107" t="s">
        <v>336</v>
      </c>
      <c r="J62" s="97" t="s">
        <v>26</v>
      </c>
      <c r="K62" s="97" t="s">
        <v>26</v>
      </c>
      <c r="L62" s="97" t="s">
        <v>26</v>
      </c>
      <c r="M62" s="95" t="s">
        <v>24</v>
      </c>
      <c r="N62" s="97" t="s">
        <v>26</v>
      </c>
      <c r="O62" s="97" t="s">
        <v>26</v>
      </c>
      <c r="P62" s="97" t="s">
        <v>26</v>
      </c>
      <c r="Q62" s="97" t="s">
        <v>26</v>
      </c>
      <c r="R62" s="97" t="s">
        <v>26</v>
      </c>
      <c r="S62" s="95" t="s">
        <v>24</v>
      </c>
      <c r="T62" s="95" t="s">
        <v>24</v>
      </c>
      <c r="U62" s="97" t="s">
        <v>26</v>
      </c>
      <c r="V62" s="97" t="s">
        <v>26</v>
      </c>
      <c r="W62" s="97" t="s">
        <v>26</v>
      </c>
      <c r="X62" s="97" t="s">
        <v>26</v>
      </c>
      <c r="Y62" s="100" t="s">
        <v>337</v>
      </c>
      <c r="Z62" s="95" t="s">
        <v>24</v>
      </c>
      <c r="AA62" s="95" t="s">
        <v>24</v>
      </c>
      <c r="AB62" s="97" t="s">
        <v>26</v>
      </c>
      <c r="AC62" s="103" t="s">
        <v>309</v>
      </c>
      <c r="AD62" s="97" t="s">
        <v>26</v>
      </c>
      <c r="AE62" s="97" t="s">
        <v>26</v>
      </c>
      <c r="AF62" s="97" t="s">
        <v>26</v>
      </c>
      <c r="AG62" s="95" t="s">
        <v>24</v>
      </c>
      <c r="AH62" s="95" t="s">
        <v>24</v>
      </c>
      <c r="AI62" s="98">
        <v>31</v>
      </c>
      <c r="AJ62" s="98">
        <f t="shared" si="3"/>
        <v>16.88</v>
      </c>
      <c r="AK62" s="98">
        <v>7</v>
      </c>
      <c r="AL62" s="98">
        <v>0</v>
      </c>
      <c r="AM62" s="98">
        <v>7.12</v>
      </c>
      <c r="AN62" s="98">
        <v>1</v>
      </c>
      <c r="AO62" s="98"/>
      <c r="AP62" s="98"/>
      <c r="AQ62" s="98"/>
      <c r="AR62" s="98">
        <v>6</v>
      </c>
      <c r="AS62" s="98"/>
      <c r="AT62" s="98">
        <f t="shared" si="4"/>
        <v>0.12</v>
      </c>
      <c r="AU62" s="99" t="s">
        <v>338</v>
      </c>
    </row>
    <row r="63" customFormat="1" ht="34" customHeight="1" spans="1:47">
      <c r="A63" s="92">
        <f t="shared" si="2"/>
        <v>60</v>
      </c>
      <c r="B63" s="93" t="s">
        <v>125</v>
      </c>
      <c r="C63" s="94" t="s">
        <v>333</v>
      </c>
      <c r="D63" s="95" t="s">
        <v>23</v>
      </c>
      <c r="E63" s="95" t="s">
        <v>23</v>
      </c>
      <c r="F63" s="95" t="s">
        <v>24</v>
      </c>
      <c r="G63" s="95" t="s">
        <v>24</v>
      </c>
      <c r="H63" s="95" t="s">
        <v>24</v>
      </c>
      <c r="I63" s="96" t="s">
        <v>311</v>
      </c>
      <c r="J63" s="97" t="s">
        <v>26</v>
      </c>
      <c r="K63" s="97" t="s">
        <v>26</v>
      </c>
      <c r="L63" s="97" t="s">
        <v>26</v>
      </c>
      <c r="M63" s="95" t="s">
        <v>24</v>
      </c>
      <c r="N63" s="97" t="s">
        <v>26</v>
      </c>
      <c r="O63" s="97" t="s">
        <v>26</v>
      </c>
      <c r="P63" s="97" t="s">
        <v>26</v>
      </c>
      <c r="Q63" s="96" t="s">
        <v>339</v>
      </c>
      <c r="R63" s="97" t="s">
        <v>26</v>
      </c>
      <c r="S63" s="95" t="s">
        <v>24</v>
      </c>
      <c r="T63" s="95" t="s">
        <v>24</v>
      </c>
      <c r="U63" s="97" t="s">
        <v>26</v>
      </c>
      <c r="V63" s="97" t="s">
        <v>26</v>
      </c>
      <c r="W63" s="97" t="s">
        <v>26</v>
      </c>
      <c r="X63" s="97" t="s">
        <v>26</v>
      </c>
      <c r="Y63" s="97" t="s">
        <v>26</v>
      </c>
      <c r="Z63" s="95" t="s">
        <v>24</v>
      </c>
      <c r="AA63" s="95" t="s">
        <v>24</v>
      </c>
      <c r="AB63" s="97" t="s">
        <v>26</v>
      </c>
      <c r="AC63" s="97" t="s">
        <v>26</v>
      </c>
      <c r="AD63" s="97" t="s">
        <v>26</v>
      </c>
      <c r="AE63" s="97" t="s">
        <v>26</v>
      </c>
      <c r="AF63" s="97" t="s">
        <v>26</v>
      </c>
      <c r="AG63" s="95" t="s">
        <v>24</v>
      </c>
      <c r="AH63" s="95" t="s">
        <v>24</v>
      </c>
      <c r="AI63" s="98">
        <v>31</v>
      </c>
      <c r="AJ63" s="98">
        <f t="shared" si="3"/>
        <v>18.25</v>
      </c>
      <c r="AK63" s="98">
        <v>10</v>
      </c>
      <c r="AL63" s="98">
        <v>2</v>
      </c>
      <c r="AM63" s="98">
        <v>0.75</v>
      </c>
      <c r="AN63" s="98"/>
      <c r="AO63" s="98">
        <v>0.75</v>
      </c>
      <c r="AP63" s="98"/>
      <c r="AQ63" s="98"/>
      <c r="AR63" s="98"/>
      <c r="AS63" s="98"/>
      <c r="AT63" s="98">
        <f t="shared" si="4"/>
        <v>0</v>
      </c>
      <c r="AU63" s="99" t="s">
        <v>340</v>
      </c>
    </row>
    <row r="64" ht="34" customHeight="1" spans="1:47">
      <c r="A64" s="92">
        <f t="shared" si="2"/>
        <v>61</v>
      </c>
      <c r="B64" s="93" t="s">
        <v>126</v>
      </c>
      <c r="C64" s="94" t="s">
        <v>333</v>
      </c>
      <c r="D64" s="95" t="s">
        <v>23</v>
      </c>
      <c r="E64" s="95" t="s">
        <v>23</v>
      </c>
      <c r="F64" s="95" t="s">
        <v>24</v>
      </c>
      <c r="G64" s="95" t="s">
        <v>24</v>
      </c>
      <c r="H64" s="95" t="s">
        <v>24</v>
      </c>
      <c r="I64" s="97" t="s">
        <v>26</v>
      </c>
      <c r="J64" s="97" t="s">
        <v>26</v>
      </c>
      <c r="K64" s="97" t="s">
        <v>26</v>
      </c>
      <c r="L64" s="97" t="s">
        <v>26</v>
      </c>
      <c r="M64" s="95" t="s">
        <v>24</v>
      </c>
      <c r="N64" s="97" t="s">
        <v>26</v>
      </c>
      <c r="O64" s="97" t="s">
        <v>26</v>
      </c>
      <c r="P64" s="97" t="s">
        <v>26</v>
      </c>
      <c r="Q64" s="97" t="s">
        <v>26</v>
      </c>
      <c r="R64" s="97" t="s">
        <v>26</v>
      </c>
      <c r="S64" s="95" t="s">
        <v>24</v>
      </c>
      <c r="T64" s="95" t="s">
        <v>24</v>
      </c>
      <c r="U64" s="97" t="s">
        <v>26</v>
      </c>
      <c r="V64" s="97" t="s">
        <v>26</v>
      </c>
      <c r="W64" s="97" t="s">
        <v>26</v>
      </c>
      <c r="X64" s="97" t="s">
        <v>26</v>
      </c>
      <c r="Y64" s="97" t="s">
        <v>26</v>
      </c>
      <c r="Z64" s="95" t="s">
        <v>24</v>
      </c>
      <c r="AA64" s="95" t="s">
        <v>24</v>
      </c>
      <c r="AB64" s="96" t="s">
        <v>88</v>
      </c>
      <c r="AC64" s="97" t="s">
        <v>26</v>
      </c>
      <c r="AD64" s="97" t="s">
        <v>26</v>
      </c>
      <c r="AE64" s="97" t="s">
        <v>26</v>
      </c>
      <c r="AF64" s="97" t="s">
        <v>26</v>
      </c>
      <c r="AG64" s="95" t="s">
        <v>24</v>
      </c>
      <c r="AH64" s="95" t="s">
        <v>24</v>
      </c>
      <c r="AI64" s="98">
        <v>31</v>
      </c>
      <c r="AJ64" s="98">
        <f t="shared" si="3"/>
        <v>18</v>
      </c>
      <c r="AK64" s="98">
        <v>10</v>
      </c>
      <c r="AL64" s="98">
        <v>2</v>
      </c>
      <c r="AM64" s="98">
        <v>1</v>
      </c>
      <c r="AN64" s="98"/>
      <c r="AO64" s="98">
        <v>1</v>
      </c>
      <c r="AP64" s="98"/>
      <c r="AQ64" s="98"/>
      <c r="AR64" s="98"/>
      <c r="AS64" s="98"/>
      <c r="AT64" s="98">
        <f t="shared" si="4"/>
        <v>0</v>
      </c>
      <c r="AU64" s="99" t="s">
        <v>89</v>
      </c>
    </row>
    <row r="65" ht="34" customHeight="1" spans="1:47">
      <c r="A65" s="92">
        <f t="shared" si="2"/>
        <v>62</v>
      </c>
      <c r="B65" s="93" t="s">
        <v>127</v>
      </c>
      <c r="C65" s="94" t="s">
        <v>333</v>
      </c>
      <c r="D65" s="95" t="s">
        <v>23</v>
      </c>
      <c r="E65" s="95" t="s">
        <v>23</v>
      </c>
      <c r="F65" s="95" t="s">
        <v>24</v>
      </c>
      <c r="G65" s="95" t="s">
        <v>24</v>
      </c>
      <c r="H65" s="95" t="s">
        <v>24</v>
      </c>
      <c r="I65" s="97" t="s">
        <v>26</v>
      </c>
      <c r="J65" s="97" t="s">
        <v>26</v>
      </c>
      <c r="K65" s="97" t="s">
        <v>26</v>
      </c>
      <c r="L65" s="97" t="s">
        <v>26</v>
      </c>
      <c r="M65" s="95" t="s">
        <v>24</v>
      </c>
      <c r="N65" s="97" t="s">
        <v>26</v>
      </c>
      <c r="O65" s="97" t="s">
        <v>26</v>
      </c>
      <c r="P65" s="97" t="s">
        <v>26</v>
      </c>
      <c r="Q65" s="97" t="s">
        <v>26</v>
      </c>
      <c r="R65" s="97" t="s">
        <v>26</v>
      </c>
      <c r="S65" s="95" t="s">
        <v>24</v>
      </c>
      <c r="T65" s="95" t="s">
        <v>24</v>
      </c>
      <c r="U65" s="97" t="s">
        <v>26</v>
      </c>
      <c r="V65" s="97" t="s">
        <v>26</v>
      </c>
      <c r="W65" s="97" t="s">
        <v>26</v>
      </c>
      <c r="X65" s="97" t="s">
        <v>26</v>
      </c>
      <c r="Y65" s="97" t="s">
        <v>26</v>
      </c>
      <c r="Z65" s="95" t="s">
        <v>24</v>
      </c>
      <c r="AA65" s="95" t="s">
        <v>24</v>
      </c>
      <c r="AB65" s="97" t="s">
        <v>26</v>
      </c>
      <c r="AC65" s="97" t="s">
        <v>26</v>
      </c>
      <c r="AD65" s="97" t="s">
        <v>26</v>
      </c>
      <c r="AE65" s="97" t="s">
        <v>26</v>
      </c>
      <c r="AF65" s="97" t="s">
        <v>26</v>
      </c>
      <c r="AG65" s="95" t="s">
        <v>24</v>
      </c>
      <c r="AH65" s="95" t="s">
        <v>24</v>
      </c>
      <c r="AI65" s="98">
        <v>31</v>
      </c>
      <c r="AJ65" s="98">
        <f t="shared" si="3"/>
        <v>19</v>
      </c>
      <c r="AK65" s="98">
        <v>10</v>
      </c>
      <c r="AL65" s="98">
        <v>2</v>
      </c>
      <c r="AM65" s="98"/>
      <c r="AN65" s="98"/>
      <c r="AO65" s="98"/>
      <c r="AP65" s="98"/>
      <c r="AQ65" s="98"/>
      <c r="AR65" s="98"/>
      <c r="AS65" s="98"/>
      <c r="AT65" s="98">
        <f t="shared" si="4"/>
        <v>0</v>
      </c>
      <c r="AU65" s="99"/>
    </row>
    <row r="66" customFormat="1" ht="34" customHeight="1" spans="1:47">
      <c r="A66" s="92">
        <f t="shared" si="2"/>
        <v>63</v>
      </c>
      <c r="B66" s="93" t="s">
        <v>128</v>
      </c>
      <c r="C66" s="94" t="s">
        <v>333</v>
      </c>
      <c r="D66" s="95" t="s">
        <v>23</v>
      </c>
      <c r="E66" s="95" t="s">
        <v>23</v>
      </c>
      <c r="F66" s="95" t="s">
        <v>24</v>
      </c>
      <c r="G66" s="95" t="s">
        <v>24</v>
      </c>
      <c r="H66" s="95" t="s">
        <v>24</v>
      </c>
      <c r="I66" s="97" t="s">
        <v>26</v>
      </c>
      <c r="J66" s="97" t="s">
        <v>26</v>
      </c>
      <c r="K66" s="97" t="s">
        <v>26</v>
      </c>
      <c r="L66" s="97" t="s">
        <v>26</v>
      </c>
      <c r="M66" s="95" t="s">
        <v>24</v>
      </c>
      <c r="N66" s="97" t="s">
        <v>26</v>
      </c>
      <c r="O66" s="97" t="s">
        <v>26</v>
      </c>
      <c r="P66" s="97" t="s">
        <v>26</v>
      </c>
      <c r="Q66" s="97" t="s">
        <v>26</v>
      </c>
      <c r="R66" s="97" t="s">
        <v>26</v>
      </c>
      <c r="S66" s="95" t="s">
        <v>24</v>
      </c>
      <c r="T66" s="95" t="s">
        <v>24</v>
      </c>
      <c r="U66" s="97" t="s">
        <v>26</v>
      </c>
      <c r="V66" s="97" t="s">
        <v>26</v>
      </c>
      <c r="W66" s="97" t="s">
        <v>26</v>
      </c>
      <c r="X66" s="96" t="s">
        <v>88</v>
      </c>
      <c r="Y66" s="100" t="s">
        <v>25</v>
      </c>
      <c r="Z66" s="95" t="s">
        <v>24</v>
      </c>
      <c r="AA66" s="95" t="s">
        <v>24</v>
      </c>
      <c r="AB66" s="97" t="s">
        <v>26</v>
      </c>
      <c r="AC66" s="97" t="s">
        <v>26</v>
      </c>
      <c r="AD66" s="97" t="s">
        <v>26</v>
      </c>
      <c r="AE66" s="97" t="s">
        <v>26</v>
      </c>
      <c r="AF66" s="97" t="s">
        <v>26</v>
      </c>
      <c r="AG66" s="95" t="s">
        <v>24</v>
      </c>
      <c r="AH66" s="95" t="s">
        <v>24</v>
      </c>
      <c r="AI66" s="98">
        <v>31</v>
      </c>
      <c r="AJ66" s="98">
        <f t="shared" si="3"/>
        <v>17</v>
      </c>
      <c r="AK66" s="98">
        <v>10</v>
      </c>
      <c r="AL66" s="98">
        <v>2</v>
      </c>
      <c r="AM66" s="98">
        <v>2</v>
      </c>
      <c r="AN66" s="98"/>
      <c r="AO66" s="98">
        <v>1</v>
      </c>
      <c r="AP66" s="98"/>
      <c r="AQ66" s="98"/>
      <c r="AR66" s="98"/>
      <c r="AS66" s="98"/>
      <c r="AT66" s="98">
        <f t="shared" si="4"/>
        <v>1</v>
      </c>
      <c r="AU66" s="99" t="s">
        <v>89</v>
      </c>
    </row>
    <row r="67" customFormat="1" ht="34" customHeight="1" spans="1:47">
      <c r="A67" s="92">
        <f t="shared" si="2"/>
        <v>64</v>
      </c>
      <c r="B67" s="93" t="s">
        <v>129</v>
      </c>
      <c r="C67" s="94" t="s">
        <v>333</v>
      </c>
      <c r="D67" s="95" t="s">
        <v>23</v>
      </c>
      <c r="E67" s="95" t="s">
        <v>23</v>
      </c>
      <c r="F67" s="95" t="s">
        <v>24</v>
      </c>
      <c r="G67" s="95" t="s">
        <v>24</v>
      </c>
      <c r="H67" s="95" t="s">
        <v>24</v>
      </c>
      <c r="I67" s="97" t="s">
        <v>26</v>
      </c>
      <c r="J67" s="97" t="s">
        <v>26</v>
      </c>
      <c r="K67" s="97" t="s">
        <v>26</v>
      </c>
      <c r="L67" s="97" t="s">
        <v>26</v>
      </c>
      <c r="M67" s="95" t="s">
        <v>24</v>
      </c>
      <c r="N67" s="97" t="s">
        <v>26</v>
      </c>
      <c r="O67" s="97" t="s">
        <v>26</v>
      </c>
      <c r="P67" s="97" t="s">
        <v>26</v>
      </c>
      <c r="Q67" s="97" t="s">
        <v>26</v>
      </c>
      <c r="R67" s="97" t="s">
        <v>26</v>
      </c>
      <c r="S67" s="95" t="s">
        <v>24</v>
      </c>
      <c r="T67" s="95" t="s">
        <v>24</v>
      </c>
      <c r="U67" s="97" t="s">
        <v>26</v>
      </c>
      <c r="V67" s="97" t="s">
        <v>26</v>
      </c>
      <c r="W67" s="97" t="s">
        <v>26</v>
      </c>
      <c r="X67" s="97" t="s">
        <v>26</v>
      </c>
      <c r="Y67" s="97" t="s">
        <v>26</v>
      </c>
      <c r="Z67" s="95" t="s">
        <v>24</v>
      </c>
      <c r="AA67" s="95" t="s">
        <v>24</v>
      </c>
      <c r="AB67" s="97" t="s">
        <v>26</v>
      </c>
      <c r="AC67" s="97" t="s">
        <v>26</v>
      </c>
      <c r="AD67" s="97" t="s">
        <v>26</v>
      </c>
      <c r="AE67" s="97" t="s">
        <v>26</v>
      </c>
      <c r="AF67" s="97" t="s">
        <v>26</v>
      </c>
      <c r="AG67" s="95" t="s">
        <v>24</v>
      </c>
      <c r="AH67" s="95" t="s">
        <v>24</v>
      </c>
      <c r="AI67" s="98">
        <v>31</v>
      </c>
      <c r="AJ67" s="98">
        <f t="shared" si="3"/>
        <v>19</v>
      </c>
      <c r="AK67" s="98">
        <v>10</v>
      </c>
      <c r="AL67" s="98">
        <v>2</v>
      </c>
      <c r="AM67" s="98"/>
      <c r="AN67" s="98"/>
      <c r="AO67" s="98"/>
      <c r="AP67" s="98"/>
      <c r="AQ67" s="98"/>
      <c r="AR67" s="98"/>
      <c r="AS67" s="98"/>
      <c r="AT67" s="98">
        <f t="shared" si="4"/>
        <v>0</v>
      </c>
      <c r="AU67" s="99"/>
    </row>
    <row r="68" customFormat="1" ht="34" customHeight="1" spans="1:47">
      <c r="A68" s="92">
        <f t="shared" si="2"/>
        <v>65</v>
      </c>
      <c r="B68" s="93" t="s">
        <v>130</v>
      </c>
      <c r="C68" s="94" t="s">
        <v>333</v>
      </c>
      <c r="D68" s="95" t="s">
        <v>23</v>
      </c>
      <c r="E68" s="95" t="s">
        <v>23</v>
      </c>
      <c r="F68" s="95" t="s">
        <v>24</v>
      </c>
      <c r="G68" s="95" t="s">
        <v>24</v>
      </c>
      <c r="H68" s="95" t="s">
        <v>24</v>
      </c>
      <c r="I68" s="97" t="s">
        <v>26</v>
      </c>
      <c r="J68" s="97" t="s">
        <v>26</v>
      </c>
      <c r="K68" s="97" t="s">
        <v>26</v>
      </c>
      <c r="L68" s="97" t="s">
        <v>26</v>
      </c>
      <c r="M68" s="95" t="s">
        <v>24</v>
      </c>
      <c r="N68" s="97" t="s">
        <v>26</v>
      </c>
      <c r="O68" s="97" t="s">
        <v>26</v>
      </c>
      <c r="P68" s="97" t="s">
        <v>26</v>
      </c>
      <c r="Q68" s="97" t="s">
        <v>26</v>
      </c>
      <c r="R68" s="97" t="s">
        <v>26</v>
      </c>
      <c r="S68" s="95" t="s">
        <v>24</v>
      </c>
      <c r="T68" s="95" t="s">
        <v>24</v>
      </c>
      <c r="U68" s="97" t="s">
        <v>26</v>
      </c>
      <c r="V68" s="97" t="s">
        <v>26</v>
      </c>
      <c r="W68" s="97" t="s">
        <v>26</v>
      </c>
      <c r="X68" s="97" t="s">
        <v>26</v>
      </c>
      <c r="Y68" s="97" t="s">
        <v>26</v>
      </c>
      <c r="Z68" s="95" t="s">
        <v>24</v>
      </c>
      <c r="AA68" s="95" t="s">
        <v>24</v>
      </c>
      <c r="AB68" s="97" t="s">
        <v>26</v>
      </c>
      <c r="AC68" s="97" t="s">
        <v>26</v>
      </c>
      <c r="AD68" s="97" t="s">
        <v>26</v>
      </c>
      <c r="AE68" s="97" t="s">
        <v>26</v>
      </c>
      <c r="AF68" s="97" t="s">
        <v>26</v>
      </c>
      <c r="AG68" s="95" t="s">
        <v>24</v>
      </c>
      <c r="AH68" s="95" t="s">
        <v>24</v>
      </c>
      <c r="AI68" s="98">
        <v>31</v>
      </c>
      <c r="AJ68" s="98">
        <f t="shared" si="3"/>
        <v>19</v>
      </c>
      <c r="AK68" s="98">
        <v>10</v>
      </c>
      <c r="AL68" s="98">
        <v>2</v>
      </c>
      <c r="AM68" s="98"/>
      <c r="AN68" s="98"/>
      <c r="AO68" s="98"/>
      <c r="AP68" s="98"/>
      <c r="AQ68" s="98"/>
      <c r="AR68" s="98"/>
      <c r="AS68" s="98"/>
      <c r="AT68" s="98">
        <f t="shared" si="4"/>
        <v>0</v>
      </c>
      <c r="AU68" s="99"/>
    </row>
    <row r="69" customFormat="1" ht="34" customHeight="1" spans="1:47">
      <c r="A69" s="92">
        <f t="shared" ref="A69:A132" si="5">ROW()-3</f>
        <v>66</v>
      </c>
      <c r="B69" s="93" t="s">
        <v>131</v>
      </c>
      <c r="C69" s="94" t="s">
        <v>333</v>
      </c>
      <c r="D69" s="95" t="s">
        <v>23</v>
      </c>
      <c r="E69" s="95" t="s">
        <v>23</v>
      </c>
      <c r="F69" s="95" t="s">
        <v>24</v>
      </c>
      <c r="G69" s="95" t="s">
        <v>24</v>
      </c>
      <c r="H69" s="95" t="s">
        <v>24</v>
      </c>
      <c r="I69" s="100" t="s">
        <v>25</v>
      </c>
      <c r="J69" s="97" t="s">
        <v>26</v>
      </c>
      <c r="K69" s="97" t="s">
        <v>26</v>
      </c>
      <c r="L69" s="97" t="s">
        <v>26</v>
      </c>
      <c r="M69" s="95" t="s">
        <v>24</v>
      </c>
      <c r="N69" s="97" t="s">
        <v>26</v>
      </c>
      <c r="O69" s="97" t="s">
        <v>26</v>
      </c>
      <c r="P69" s="97" t="s">
        <v>26</v>
      </c>
      <c r="Q69" s="97" t="s">
        <v>26</v>
      </c>
      <c r="R69" s="97" t="s">
        <v>26</v>
      </c>
      <c r="S69" s="95" t="s">
        <v>24</v>
      </c>
      <c r="T69" s="95" t="s">
        <v>24</v>
      </c>
      <c r="U69" s="97" t="s">
        <v>26</v>
      </c>
      <c r="V69" s="97" t="s">
        <v>26</v>
      </c>
      <c r="W69" s="97" t="s">
        <v>26</v>
      </c>
      <c r="X69" s="97" t="s">
        <v>26</v>
      </c>
      <c r="Y69" s="97" t="s">
        <v>26</v>
      </c>
      <c r="Z69" s="95" t="s">
        <v>24</v>
      </c>
      <c r="AA69" s="95" t="s">
        <v>24</v>
      </c>
      <c r="AB69" s="97" t="s">
        <v>26</v>
      </c>
      <c r="AC69" s="97" t="s">
        <v>26</v>
      </c>
      <c r="AD69" s="97" t="s">
        <v>26</v>
      </c>
      <c r="AE69" s="97" t="s">
        <v>26</v>
      </c>
      <c r="AF69" s="97" t="s">
        <v>26</v>
      </c>
      <c r="AG69" s="95" t="s">
        <v>24</v>
      </c>
      <c r="AH69" s="95" t="s">
        <v>24</v>
      </c>
      <c r="AI69" s="98">
        <v>31</v>
      </c>
      <c r="AJ69" s="98">
        <f t="shared" si="3"/>
        <v>18</v>
      </c>
      <c r="AK69" s="98">
        <v>10</v>
      </c>
      <c r="AL69" s="98">
        <v>2</v>
      </c>
      <c r="AM69" s="98">
        <v>1</v>
      </c>
      <c r="AN69" s="98"/>
      <c r="AO69" s="98"/>
      <c r="AP69" s="98"/>
      <c r="AQ69" s="98"/>
      <c r="AR69" s="98"/>
      <c r="AS69" s="98"/>
      <c r="AT69" s="98">
        <f t="shared" si="4"/>
        <v>1</v>
      </c>
      <c r="AU69" s="99"/>
    </row>
    <row r="70" customFormat="1" ht="34" customHeight="1" spans="1:47">
      <c r="A70" s="92">
        <f t="shared" si="5"/>
        <v>67</v>
      </c>
      <c r="B70" s="93" t="s">
        <v>133</v>
      </c>
      <c r="C70" s="94" t="s">
        <v>333</v>
      </c>
      <c r="D70" s="95" t="s">
        <v>23</v>
      </c>
      <c r="E70" s="95" t="s">
        <v>23</v>
      </c>
      <c r="F70" s="95" t="s">
        <v>24</v>
      </c>
      <c r="G70" s="95" t="s">
        <v>24</v>
      </c>
      <c r="H70" s="95" t="s">
        <v>24</v>
      </c>
      <c r="I70" s="97" t="s">
        <v>26</v>
      </c>
      <c r="J70" s="97" t="s">
        <v>26</v>
      </c>
      <c r="K70" s="97" t="s">
        <v>26</v>
      </c>
      <c r="L70" s="97" t="s">
        <v>26</v>
      </c>
      <c r="M70" s="95" t="s">
        <v>24</v>
      </c>
      <c r="N70" s="97" t="s">
        <v>26</v>
      </c>
      <c r="O70" s="97" t="s">
        <v>26</v>
      </c>
      <c r="P70" s="97" t="s">
        <v>26</v>
      </c>
      <c r="Q70" s="97" t="s">
        <v>26</v>
      </c>
      <c r="R70" s="97" t="s">
        <v>26</v>
      </c>
      <c r="S70" s="95" t="s">
        <v>24</v>
      </c>
      <c r="T70" s="95" t="s">
        <v>24</v>
      </c>
      <c r="U70" s="96" t="s">
        <v>339</v>
      </c>
      <c r="V70" s="97" t="s">
        <v>26</v>
      </c>
      <c r="W70" s="97" t="s">
        <v>26</v>
      </c>
      <c r="X70" s="97" t="s">
        <v>26</v>
      </c>
      <c r="Y70" s="97" t="s">
        <v>26</v>
      </c>
      <c r="Z70" s="95" t="s">
        <v>24</v>
      </c>
      <c r="AA70" s="95" t="s">
        <v>24</v>
      </c>
      <c r="AB70" s="97" t="s">
        <v>26</v>
      </c>
      <c r="AC70" s="97" t="s">
        <v>26</v>
      </c>
      <c r="AD70" s="96" t="s">
        <v>339</v>
      </c>
      <c r="AE70" s="96" t="s">
        <v>70</v>
      </c>
      <c r="AF70" s="96" t="s">
        <v>70</v>
      </c>
      <c r="AG70" s="95" t="s">
        <v>24</v>
      </c>
      <c r="AH70" s="95" t="s">
        <v>24</v>
      </c>
      <c r="AI70" s="98">
        <v>31</v>
      </c>
      <c r="AJ70" s="98">
        <f t="shared" ref="AJ70:AJ119" si="6">AI70-AM70-AK70-AL70</f>
        <v>18.37</v>
      </c>
      <c r="AK70" s="98">
        <v>10</v>
      </c>
      <c r="AL70" s="98">
        <v>2</v>
      </c>
      <c r="AM70" s="98">
        <v>0.63</v>
      </c>
      <c r="AN70" s="98"/>
      <c r="AO70" s="98">
        <v>0.63</v>
      </c>
      <c r="AP70" s="98"/>
      <c r="AQ70" s="98"/>
      <c r="AR70" s="98"/>
      <c r="AS70" s="98"/>
      <c r="AT70" s="98">
        <f t="shared" ref="AT70:AT119" si="7">AM70-AN70-AO70-AP70-AQ70-AR70+AS70</f>
        <v>0</v>
      </c>
      <c r="AU70" s="99" t="s">
        <v>341</v>
      </c>
    </row>
    <row r="71" ht="34" customHeight="1" spans="1:47">
      <c r="A71" s="92">
        <f t="shared" si="5"/>
        <v>68</v>
      </c>
      <c r="B71" s="93" t="s">
        <v>136</v>
      </c>
      <c r="C71" s="94" t="s">
        <v>333</v>
      </c>
      <c r="D71" s="95" t="s">
        <v>23</v>
      </c>
      <c r="E71" s="95" t="s">
        <v>23</v>
      </c>
      <c r="F71" s="95" t="s">
        <v>24</v>
      </c>
      <c r="G71" s="95" t="s">
        <v>24</v>
      </c>
      <c r="H71" s="95" t="s">
        <v>24</v>
      </c>
      <c r="I71" s="97" t="s">
        <v>26</v>
      </c>
      <c r="J71" s="97" t="s">
        <v>26</v>
      </c>
      <c r="K71" s="97" t="s">
        <v>26</v>
      </c>
      <c r="L71" s="97" t="s">
        <v>26</v>
      </c>
      <c r="M71" s="95" t="s">
        <v>24</v>
      </c>
      <c r="N71" s="97" t="s">
        <v>26</v>
      </c>
      <c r="O71" s="97" t="s">
        <v>26</v>
      </c>
      <c r="P71" s="97" t="s">
        <v>26</v>
      </c>
      <c r="Q71" s="97" t="s">
        <v>26</v>
      </c>
      <c r="R71" s="97" t="s">
        <v>26</v>
      </c>
      <c r="S71" s="95" t="s">
        <v>24</v>
      </c>
      <c r="T71" s="95" t="s">
        <v>24</v>
      </c>
      <c r="U71" s="108" t="s">
        <v>342</v>
      </c>
      <c r="V71" s="108" t="s">
        <v>342</v>
      </c>
      <c r="W71" s="108" t="s">
        <v>342</v>
      </c>
      <c r="X71" s="108" t="s">
        <v>342</v>
      </c>
      <c r="Y71" s="108" t="s">
        <v>342</v>
      </c>
      <c r="Z71" s="95" t="s">
        <v>24</v>
      </c>
      <c r="AA71" s="95" t="s">
        <v>24</v>
      </c>
      <c r="AB71" s="108" t="s">
        <v>342</v>
      </c>
      <c r="AC71" s="108" t="s">
        <v>342</v>
      </c>
      <c r="AD71" s="108" t="s">
        <v>342</v>
      </c>
      <c r="AE71" s="108" t="s">
        <v>342</v>
      </c>
      <c r="AF71" s="108" t="s">
        <v>342</v>
      </c>
      <c r="AG71" s="95" t="s">
        <v>24</v>
      </c>
      <c r="AH71" s="95" t="s">
        <v>24</v>
      </c>
      <c r="AI71" s="98">
        <v>31</v>
      </c>
      <c r="AJ71" s="98">
        <f t="shared" si="6"/>
        <v>19</v>
      </c>
      <c r="AK71" s="98">
        <v>10</v>
      </c>
      <c r="AL71" s="98">
        <v>2</v>
      </c>
      <c r="AM71" s="98"/>
      <c r="AN71" s="98"/>
      <c r="AO71" s="98"/>
      <c r="AP71" s="98"/>
      <c r="AQ71" s="98"/>
      <c r="AR71" s="98"/>
      <c r="AS71" s="98"/>
      <c r="AT71" s="98">
        <f t="shared" si="7"/>
        <v>0</v>
      </c>
      <c r="AU71" s="99"/>
    </row>
    <row r="72" customFormat="1" ht="34" customHeight="1" spans="1:47">
      <c r="A72" s="92">
        <f t="shared" si="5"/>
        <v>69</v>
      </c>
      <c r="B72" s="93" t="s">
        <v>139</v>
      </c>
      <c r="C72" s="94" t="s">
        <v>333</v>
      </c>
      <c r="D72" s="95" t="s">
        <v>23</v>
      </c>
      <c r="E72" s="95" t="s">
        <v>23</v>
      </c>
      <c r="F72" s="95" t="s">
        <v>24</v>
      </c>
      <c r="G72" s="95" t="s">
        <v>24</v>
      </c>
      <c r="H72" s="95" t="s">
        <v>24</v>
      </c>
      <c r="I72" s="97" t="s">
        <v>26</v>
      </c>
      <c r="J72" s="97" t="s">
        <v>26</v>
      </c>
      <c r="K72" s="97" t="s">
        <v>26</v>
      </c>
      <c r="L72" s="97" t="s">
        <v>26</v>
      </c>
      <c r="M72" s="95" t="s">
        <v>24</v>
      </c>
      <c r="N72" s="108" t="s">
        <v>342</v>
      </c>
      <c r="O72" s="108" t="s">
        <v>342</v>
      </c>
      <c r="P72" s="108" t="s">
        <v>342</v>
      </c>
      <c r="Q72" s="108" t="s">
        <v>342</v>
      </c>
      <c r="R72" s="108" t="s">
        <v>342</v>
      </c>
      <c r="S72" s="95" t="s">
        <v>24</v>
      </c>
      <c r="T72" s="95" t="s">
        <v>24</v>
      </c>
      <c r="U72" s="97" t="s">
        <v>26</v>
      </c>
      <c r="V72" s="97" t="s">
        <v>26</v>
      </c>
      <c r="W72" s="97" t="s">
        <v>26</v>
      </c>
      <c r="X72" s="100" t="s">
        <v>25</v>
      </c>
      <c r="Y72" s="97" t="s">
        <v>26</v>
      </c>
      <c r="Z72" s="95" t="s">
        <v>24</v>
      </c>
      <c r="AA72" s="95" t="s">
        <v>24</v>
      </c>
      <c r="AB72" s="97" t="s">
        <v>26</v>
      </c>
      <c r="AC72" s="97" t="s">
        <v>26</v>
      </c>
      <c r="AD72" s="100" t="s">
        <v>186</v>
      </c>
      <c r="AE72" s="97" t="s">
        <v>26</v>
      </c>
      <c r="AF72" s="97" t="s">
        <v>26</v>
      </c>
      <c r="AG72" s="95" t="s">
        <v>24</v>
      </c>
      <c r="AH72" s="95" t="s">
        <v>24</v>
      </c>
      <c r="AI72" s="98">
        <v>31</v>
      </c>
      <c r="AJ72" s="98">
        <f t="shared" si="6"/>
        <v>17.87</v>
      </c>
      <c r="AK72" s="98">
        <v>10</v>
      </c>
      <c r="AL72" s="98">
        <v>2</v>
      </c>
      <c r="AM72" s="98">
        <v>1.13</v>
      </c>
      <c r="AN72" s="98"/>
      <c r="AO72" s="98"/>
      <c r="AP72" s="98"/>
      <c r="AQ72" s="98"/>
      <c r="AR72" s="98"/>
      <c r="AS72" s="98"/>
      <c r="AT72" s="98">
        <f t="shared" si="7"/>
        <v>1.13</v>
      </c>
      <c r="AU72" s="99"/>
    </row>
    <row r="73" customFormat="1" ht="34" customHeight="1" spans="1:47">
      <c r="A73" s="92">
        <f t="shared" si="5"/>
        <v>70</v>
      </c>
      <c r="B73" s="93" t="s">
        <v>141</v>
      </c>
      <c r="C73" s="94" t="s">
        <v>333</v>
      </c>
      <c r="D73" s="95" t="s">
        <v>23</v>
      </c>
      <c r="E73" s="95" t="s">
        <v>23</v>
      </c>
      <c r="F73" s="95" t="s">
        <v>24</v>
      </c>
      <c r="G73" s="95" t="s">
        <v>24</v>
      </c>
      <c r="H73" s="95" t="s">
        <v>24</v>
      </c>
      <c r="I73" s="108" t="s">
        <v>342</v>
      </c>
      <c r="J73" s="108" t="s">
        <v>342</v>
      </c>
      <c r="K73" s="108" t="s">
        <v>342</v>
      </c>
      <c r="L73" s="108" t="s">
        <v>342</v>
      </c>
      <c r="M73" s="95" t="s">
        <v>24</v>
      </c>
      <c r="N73" s="97" t="s">
        <v>26</v>
      </c>
      <c r="O73" s="97" t="s">
        <v>26</v>
      </c>
      <c r="P73" s="97" t="s">
        <v>26</v>
      </c>
      <c r="Q73" s="97" t="s">
        <v>26</v>
      </c>
      <c r="R73" s="97" t="s">
        <v>26</v>
      </c>
      <c r="S73" s="95" t="s">
        <v>24</v>
      </c>
      <c r="T73" s="95" t="s">
        <v>24</v>
      </c>
      <c r="U73" s="97" t="s">
        <v>26</v>
      </c>
      <c r="V73" s="97" t="s">
        <v>26</v>
      </c>
      <c r="W73" s="97" t="s">
        <v>26</v>
      </c>
      <c r="X73" s="97" t="s">
        <v>26</v>
      </c>
      <c r="Y73" s="97" t="s">
        <v>26</v>
      </c>
      <c r="Z73" s="95" t="s">
        <v>24</v>
      </c>
      <c r="AA73" s="95" t="s">
        <v>24</v>
      </c>
      <c r="AB73" s="97" t="s">
        <v>26</v>
      </c>
      <c r="AC73" s="97" t="s">
        <v>26</v>
      </c>
      <c r="AD73" s="97" t="s">
        <v>26</v>
      </c>
      <c r="AE73" s="97" t="s">
        <v>26</v>
      </c>
      <c r="AF73" s="97" t="s">
        <v>26</v>
      </c>
      <c r="AG73" s="95" t="s">
        <v>24</v>
      </c>
      <c r="AH73" s="95" t="s">
        <v>24</v>
      </c>
      <c r="AI73" s="98">
        <v>31</v>
      </c>
      <c r="AJ73" s="98">
        <f t="shared" si="6"/>
        <v>19</v>
      </c>
      <c r="AK73" s="98">
        <v>10</v>
      </c>
      <c r="AL73" s="98">
        <v>2</v>
      </c>
      <c r="AM73" s="98"/>
      <c r="AN73" s="98"/>
      <c r="AO73" s="98"/>
      <c r="AP73" s="98"/>
      <c r="AQ73" s="98"/>
      <c r="AR73" s="98"/>
      <c r="AS73" s="98"/>
      <c r="AT73" s="98">
        <f t="shared" si="7"/>
        <v>0</v>
      </c>
      <c r="AU73" s="99"/>
    </row>
    <row r="74" customFormat="1" ht="34" customHeight="1" spans="1:47">
      <c r="A74" s="92">
        <f t="shared" si="5"/>
        <v>71</v>
      </c>
      <c r="B74" s="93" t="s">
        <v>142</v>
      </c>
      <c r="C74" s="94" t="s">
        <v>333</v>
      </c>
      <c r="D74" s="95" t="s">
        <v>23</v>
      </c>
      <c r="E74" s="95" t="s">
        <v>23</v>
      </c>
      <c r="F74" s="95" t="s">
        <v>24</v>
      </c>
      <c r="G74" s="95" t="s">
        <v>24</v>
      </c>
      <c r="H74" s="95" t="s">
        <v>24</v>
      </c>
      <c r="I74" s="100" t="s">
        <v>25</v>
      </c>
      <c r="J74" s="97" t="s">
        <v>26</v>
      </c>
      <c r="K74" s="97" t="s">
        <v>26</v>
      </c>
      <c r="L74" s="97" t="s">
        <v>26</v>
      </c>
      <c r="M74" s="95" t="s">
        <v>24</v>
      </c>
      <c r="N74" s="97" t="s">
        <v>26</v>
      </c>
      <c r="O74" s="97" t="s">
        <v>26</v>
      </c>
      <c r="P74" s="97" t="s">
        <v>26</v>
      </c>
      <c r="Q74" s="97" t="s">
        <v>26</v>
      </c>
      <c r="R74" s="97" t="s">
        <v>26</v>
      </c>
      <c r="S74" s="95" t="s">
        <v>24</v>
      </c>
      <c r="T74" s="95" t="s">
        <v>24</v>
      </c>
      <c r="U74" s="97" t="s">
        <v>26</v>
      </c>
      <c r="V74" s="97" t="s">
        <v>26</v>
      </c>
      <c r="W74" s="97" t="s">
        <v>26</v>
      </c>
      <c r="X74" s="97" t="s">
        <v>26</v>
      </c>
      <c r="Y74" s="97" t="s">
        <v>26</v>
      </c>
      <c r="Z74" s="95" t="s">
        <v>24</v>
      </c>
      <c r="AA74" s="95" t="s">
        <v>24</v>
      </c>
      <c r="AB74" s="97" t="s">
        <v>26</v>
      </c>
      <c r="AC74" s="97" t="s">
        <v>26</v>
      </c>
      <c r="AD74" s="96" t="s">
        <v>339</v>
      </c>
      <c r="AE74" s="97" t="s">
        <v>26</v>
      </c>
      <c r="AF74" s="97" t="s">
        <v>26</v>
      </c>
      <c r="AG74" s="95" t="s">
        <v>24</v>
      </c>
      <c r="AH74" s="95" t="s">
        <v>24</v>
      </c>
      <c r="AI74" s="98">
        <v>31</v>
      </c>
      <c r="AJ74" s="98">
        <f t="shared" si="6"/>
        <v>17.81</v>
      </c>
      <c r="AK74" s="98">
        <v>10</v>
      </c>
      <c r="AL74" s="98">
        <v>2</v>
      </c>
      <c r="AM74" s="98">
        <v>1.19</v>
      </c>
      <c r="AN74" s="98"/>
      <c r="AO74" s="98">
        <v>0.19</v>
      </c>
      <c r="AP74" s="98"/>
      <c r="AQ74" s="98"/>
      <c r="AR74" s="98"/>
      <c r="AS74" s="98"/>
      <c r="AT74" s="98">
        <f t="shared" si="7"/>
        <v>1</v>
      </c>
      <c r="AU74" s="99" t="s">
        <v>343</v>
      </c>
    </row>
    <row r="75" customFormat="1" ht="34" customHeight="1" spans="1:47">
      <c r="A75" s="92">
        <f t="shared" si="5"/>
        <v>72</v>
      </c>
      <c r="B75" s="93" t="s">
        <v>143</v>
      </c>
      <c r="C75" s="94" t="s">
        <v>333</v>
      </c>
      <c r="D75" s="95" t="s">
        <v>23</v>
      </c>
      <c r="E75" s="95" t="s">
        <v>23</v>
      </c>
      <c r="F75" s="95" t="s">
        <v>24</v>
      </c>
      <c r="G75" s="95" t="s">
        <v>24</v>
      </c>
      <c r="H75" s="95" t="s">
        <v>24</v>
      </c>
      <c r="I75" s="108" t="s">
        <v>342</v>
      </c>
      <c r="J75" s="108" t="s">
        <v>342</v>
      </c>
      <c r="K75" s="108" t="s">
        <v>342</v>
      </c>
      <c r="L75" s="108" t="s">
        <v>342</v>
      </c>
      <c r="M75" s="95" t="s">
        <v>24</v>
      </c>
      <c r="N75" s="108" t="s">
        <v>342</v>
      </c>
      <c r="O75" s="108" t="s">
        <v>342</v>
      </c>
      <c r="P75" s="108" t="s">
        <v>342</v>
      </c>
      <c r="Q75" s="108" t="s">
        <v>342</v>
      </c>
      <c r="R75" s="108" t="s">
        <v>342</v>
      </c>
      <c r="S75" s="95" t="s">
        <v>24</v>
      </c>
      <c r="T75" s="95" t="s">
        <v>24</v>
      </c>
      <c r="U75" s="108" t="s">
        <v>342</v>
      </c>
      <c r="V75" s="108" t="s">
        <v>342</v>
      </c>
      <c r="W75" s="108" t="s">
        <v>342</v>
      </c>
      <c r="X75" s="108" t="s">
        <v>342</v>
      </c>
      <c r="Y75" s="108" t="s">
        <v>342</v>
      </c>
      <c r="Z75" s="95" t="s">
        <v>24</v>
      </c>
      <c r="AA75" s="95" t="s">
        <v>24</v>
      </c>
      <c r="AB75" s="108" t="s">
        <v>342</v>
      </c>
      <c r="AC75" s="108" t="s">
        <v>342</v>
      </c>
      <c r="AD75" s="108" t="s">
        <v>342</v>
      </c>
      <c r="AE75" s="100" t="s">
        <v>137</v>
      </c>
      <c r="AF75" s="108" t="s">
        <v>342</v>
      </c>
      <c r="AG75" s="95" t="s">
        <v>24</v>
      </c>
      <c r="AH75" s="95" t="s">
        <v>24</v>
      </c>
      <c r="AI75" s="98">
        <v>31</v>
      </c>
      <c r="AJ75" s="98">
        <f t="shared" si="6"/>
        <v>18.75</v>
      </c>
      <c r="AK75" s="98">
        <v>10</v>
      </c>
      <c r="AL75" s="98">
        <v>2</v>
      </c>
      <c r="AM75" s="98">
        <v>0.25</v>
      </c>
      <c r="AN75" s="98"/>
      <c r="AO75" s="98"/>
      <c r="AP75" s="98"/>
      <c r="AQ75" s="98"/>
      <c r="AR75" s="98"/>
      <c r="AS75" s="98"/>
      <c r="AT75" s="98">
        <f t="shared" si="7"/>
        <v>0.25</v>
      </c>
      <c r="AU75" s="99"/>
    </row>
    <row r="76" customFormat="1" ht="34" customHeight="1" spans="1:47">
      <c r="A76" s="92">
        <f t="shared" si="5"/>
        <v>73</v>
      </c>
      <c r="B76" s="93" t="s">
        <v>144</v>
      </c>
      <c r="C76" s="94" t="s">
        <v>333</v>
      </c>
      <c r="D76" s="95" t="s">
        <v>23</v>
      </c>
      <c r="E76" s="95" t="s">
        <v>23</v>
      </c>
      <c r="F76" s="95" t="s">
        <v>24</v>
      </c>
      <c r="G76" s="95" t="s">
        <v>24</v>
      </c>
      <c r="H76" s="95" t="s">
        <v>24</v>
      </c>
      <c r="I76" s="100" t="s">
        <v>25</v>
      </c>
      <c r="J76" s="97" t="s">
        <v>26</v>
      </c>
      <c r="K76" s="97" t="s">
        <v>26</v>
      </c>
      <c r="L76" s="100" t="s">
        <v>52</v>
      </c>
      <c r="M76" s="95" t="s">
        <v>24</v>
      </c>
      <c r="N76" s="97" t="s">
        <v>26</v>
      </c>
      <c r="O76" s="97" t="s">
        <v>26</v>
      </c>
      <c r="P76" s="97" t="s">
        <v>26</v>
      </c>
      <c r="Q76" s="97" t="s">
        <v>26</v>
      </c>
      <c r="R76" s="97" t="s">
        <v>26</v>
      </c>
      <c r="S76" s="95" t="s">
        <v>24</v>
      </c>
      <c r="T76" s="95" t="s">
        <v>24</v>
      </c>
      <c r="U76" s="108" t="s">
        <v>342</v>
      </c>
      <c r="V76" s="108" t="s">
        <v>342</v>
      </c>
      <c r="W76" s="108" t="s">
        <v>342</v>
      </c>
      <c r="X76" s="108" t="s">
        <v>342</v>
      </c>
      <c r="Y76" s="100" t="s">
        <v>25</v>
      </c>
      <c r="Z76" s="95" t="s">
        <v>24</v>
      </c>
      <c r="AA76" s="95" t="s">
        <v>24</v>
      </c>
      <c r="AB76" s="108" t="s">
        <v>342</v>
      </c>
      <c r="AC76" s="108" t="s">
        <v>342</v>
      </c>
      <c r="AD76" s="108" t="s">
        <v>342</v>
      </c>
      <c r="AE76" s="108" t="s">
        <v>342</v>
      </c>
      <c r="AF76" s="108" t="s">
        <v>342</v>
      </c>
      <c r="AG76" s="95" t="s">
        <v>24</v>
      </c>
      <c r="AH76" s="95" t="s">
        <v>24</v>
      </c>
      <c r="AI76" s="98">
        <v>31</v>
      </c>
      <c r="AJ76" s="98">
        <f t="shared" si="6"/>
        <v>16.94</v>
      </c>
      <c r="AK76" s="98">
        <v>10</v>
      </c>
      <c r="AL76" s="98">
        <v>2</v>
      </c>
      <c r="AM76" s="98">
        <v>2.06</v>
      </c>
      <c r="AN76" s="98"/>
      <c r="AO76" s="98"/>
      <c r="AP76" s="98"/>
      <c r="AQ76" s="98"/>
      <c r="AR76" s="98"/>
      <c r="AS76" s="98"/>
      <c r="AT76" s="98">
        <f t="shared" si="7"/>
        <v>2.06</v>
      </c>
      <c r="AU76" s="99"/>
    </row>
    <row r="77" customFormat="1" ht="34" customHeight="1" spans="1:47">
      <c r="A77" s="92">
        <f t="shared" si="5"/>
        <v>74</v>
      </c>
      <c r="B77" s="93" t="s">
        <v>197</v>
      </c>
      <c r="C77" s="94" t="s">
        <v>333</v>
      </c>
      <c r="D77" s="95" t="s">
        <v>23</v>
      </c>
      <c r="E77" s="95" t="s">
        <v>23</v>
      </c>
      <c r="F77" s="95" t="s">
        <v>24</v>
      </c>
      <c r="G77" s="95" t="s">
        <v>24</v>
      </c>
      <c r="H77" s="95" t="s">
        <v>24</v>
      </c>
      <c r="I77" s="97" t="s">
        <v>26</v>
      </c>
      <c r="J77" s="97" t="s">
        <v>26</v>
      </c>
      <c r="K77" s="97" t="s">
        <v>26</v>
      </c>
      <c r="L77" s="97" t="s">
        <v>26</v>
      </c>
      <c r="M77" s="95" t="s">
        <v>24</v>
      </c>
      <c r="N77" s="97" t="s">
        <v>26</v>
      </c>
      <c r="O77" s="97" t="s">
        <v>26</v>
      </c>
      <c r="P77" s="97" t="s">
        <v>26</v>
      </c>
      <c r="Q77" s="97" t="s">
        <v>26</v>
      </c>
      <c r="R77" s="97" t="s">
        <v>26</v>
      </c>
      <c r="S77" s="95" t="s">
        <v>24</v>
      </c>
      <c r="T77" s="95" t="s">
        <v>24</v>
      </c>
      <c r="U77" s="97" t="s">
        <v>26</v>
      </c>
      <c r="V77" s="97" t="s">
        <v>26</v>
      </c>
      <c r="W77" s="97" t="s">
        <v>26</v>
      </c>
      <c r="X77" s="100" t="s">
        <v>321</v>
      </c>
      <c r="Y77" s="97" t="s">
        <v>26</v>
      </c>
      <c r="Z77" s="95" t="s">
        <v>24</v>
      </c>
      <c r="AA77" s="95" t="s">
        <v>24</v>
      </c>
      <c r="AB77" s="97" t="s">
        <v>26</v>
      </c>
      <c r="AC77" s="97" t="s">
        <v>26</v>
      </c>
      <c r="AD77" s="97" t="s">
        <v>26</v>
      </c>
      <c r="AE77" s="97" t="s">
        <v>26</v>
      </c>
      <c r="AF77" s="97" t="s">
        <v>26</v>
      </c>
      <c r="AG77" s="95" t="s">
        <v>24</v>
      </c>
      <c r="AH77" s="95" t="s">
        <v>24</v>
      </c>
      <c r="AI77" s="98">
        <v>31</v>
      </c>
      <c r="AJ77" s="98">
        <f t="shared" si="6"/>
        <v>18.56</v>
      </c>
      <c r="AK77" s="98">
        <v>10</v>
      </c>
      <c r="AL77" s="98">
        <v>2</v>
      </c>
      <c r="AM77" s="98">
        <v>0.44</v>
      </c>
      <c r="AN77" s="98"/>
      <c r="AO77" s="98"/>
      <c r="AP77" s="98"/>
      <c r="AQ77" s="98"/>
      <c r="AR77" s="98"/>
      <c r="AS77" s="98"/>
      <c r="AT77" s="98">
        <f t="shared" si="7"/>
        <v>0.44</v>
      </c>
      <c r="AU77" s="99"/>
    </row>
    <row r="78" customFormat="1" ht="34" customHeight="1" spans="1:47">
      <c r="A78" s="92">
        <f t="shared" si="5"/>
        <v>75</v>
      </c>
      <c r="B78" s="93" t="s">
        <v>145</v>
      </c>
      <c r="C78" s="94" t="s">
        <v>333</v>
      </c>
      <c r="D78" s="95" t="s">
        <v>23</v>
      </c>
      <c r="E78" s="95" t="s">
        <v>23</v>
      </c>
      <c r="F78" s="95" t="s">
        <v>24</v>
      </c>
      <c r="G78" s="95" t="s">
        <v>24</v>
      </c>
      <c r="H78" s="95" t="s">
        <v>24</v>
      </c>
      <c r="I78" s="96" t="s">
        <v>88</v>
      </c>
      <c r="J78" s="97" t="s">
        <v>26</v>
      </c>
      <c r="K78" s="97" t="s">
        <v>26</v>
      </c>
      <c r="L78" s="97" t="s">
        <v>26</v>
      </c>
      <c r="M78" s="95" t="s">
        <v>24</v>
      </c>
      <c r="N78" s="97" t="s">
        <v>26</v>
      </c>
      <c r="O78" s="97" t="s">
        <v>26</v>
      </c>
      <c r="P78" s="97" t="s">
        <v>26</v>
      </c>
      <c r="Q78" s="97" t="s">
        <v>26</v>
      </c>
      <c r="R78" s="97" t="s">
        <v>26</v>
      </c>
      <c r="S78" s="95" t="s">
        <v>24</v>
      </c>
      <c r="T78" s="95" t="s">
        <v>24</v>
      </c>
      <c r="U78" s="100" t="s">
        <v>124</v>
      </c>
      <c r="V78" s="97" t="s">
        <v>26</v>
      </c>
      <c r="W78" s="97" t="s">
        <v>26</v>
      </c>
      <c r="X78" s="97" t="s">
        <v>26</v>
      </c>
      <c r="Y78" s="97" t="s">
        <v>26</v>
      </c>
      <c r="Z78" s="95" t="s">
        <v>24</v>
      </c>
      <c r="AA78" s="95" t="s">
        <v>24</v>
      </c>
      <c r="AB78" s="97" t="s">
        <v>26</v>
      </c>
      <c r="AC78" s="97" t="s">
        <v>26</v>
      </c>
      <c r="AD78" s="97" t="s">
        <v>26</v>
      </c>
      <c r="AE78" s="100" t="s">
        <v>52</v>
      </c>
      <c r="AF78" s="97" t="s">
        <v>26</v>
      </c>
      <c r="AG78" s="95" t="s">
        <v>24</v>
      </c>
      <c r="AH78" s="95" t="s">
        <v>24</v>
      </c>
      <c r="AI78" s="98">
        <v>31</v>
      </c>
      <c r="AJ78" s="98">
        <f t="shared" si="6"/>
        <v>17.56</v>
      </c>
      <c r="AK78" s="98">
        <v>10</v>
      </c>
      <c r="AL78" s="98">
        <v>2</v>
      </c>
      <c r="AM78" s="98">
        <v>1.44</v>
      </c>
      <c r="AN78" s="98"/>
      <c r="AO78" s="98">
        <v>1</v>
      </c>
      <c r="AP78" s="98"/>
      <c r="AQ78" s="98"/>
      <c r="AR78" s="98"/>
      <c r="AS78" s="98"/>
      <c r="AT78" s="98">
        <f t="shared" si="7"/>
        <v>0.44</v>
      </c>
      <c r="AU78" s="99" t="s">
        <v>89</v>
      </c>
    </row>
    <row r="79" customFormat="1" ht="34" customHeight="1" spans="1:47">
      <c r="A79" s="92">
        <f t="shared" si="5"/>
        <v>76</v>
      </c>
      <c r="B79" s="93" t="s">
        <v>152</v>
      </c>
      <c r="C79" s="94" t="s">
        <v>333</v>
      </c>
      <c r="D79" s="95" t="s">
        <v>23</v>
      </c>
      <c r="E79" s="95" t="s">
        <v>23</v>
      </c>
      <c r="F79" s="95" t="s">
        <v>24</v>
      </c>
      <c r="G79" s="95" t="s">
        <v>24</v>
      </c>
      <c r="H79" s="95" t="s">
        <v>24</v>
      </c>
      <c r="I79" s="97" t="s">
        <v>26</v>
      </c>
      <c r="J79" s="97" t="s">
        <v>26</v>
      </c>
      <c r="K79" s="97" t="s">
        <v>26</v>
      </c>
      <c r="L79" s="97" t="s">
        <v>26</v>
      </c>
      <c r="M79" s="95" t="s">
        <v>24</v>
      </c>
      <c r="N79" s="97" t="s">
        <v>26</v>
      </c>
      <c r="O79" s="97" t="s">
        <v>26</v>
      </c>
      <c r="P79" s="97" t="s">
        <v>26</v>
      </c>
      <c r="Q79" s="97" t="s">
        <v>26</v>
      </c>
      <c r="R79" s="97" t="s">
        <v>26</v>
      </c>
      <c r="S79" s="95" t="s">
        <v>24</v>
      </c>
      <c r="T79" s="95" t="s">
        <v>24</v>
      </c>
      <c r="U79" s="97" t="s">
        <v>26</v>
      </c>
      <c r="V79" s="97" t="s">
        <v>26</v>
      </c>
      <c r="W79" s="97" t="s">
        <v>26</v>
      </c>
      <c r="X79" s="97" t="s">
        <v>26</v>
      </c>
      <c r="Y79" s="97" t="s">
        <v>26</v>
      </c>
      <c r="Z79" s="95" t="s">
        <v>24</v>
      </c>
      <c r="AA79" s="95" t="s">
        <v>24</v>
      </c>
      <c r="AB79" s="97" t="s">
        <v>26</v>
      </c>
      <c r="AC79" s="97" t="s">
        <v>26</v>
      </c>
      <c r="AD79" s="97" t="s">
        <v>26</v>
      </c>
      <c r="AE79" s="97" t="s">
        <v>26</v>
      </c>
      <c r="AF79" s="97" t="s">
        <v>26</v>
      </c>
      <c r="AG79" s="95" t="s">
        <v>24</v>
      </c>
      <c r="AH79" s="95" t="s">
        <v>24</v>
      </c>
      <c r="AI79" s="98">
        <v>31</v>
      </c>
      <c r="AJ79" s="98">
        <f t="shared" si="6"/>
        <v>19</v>
      </c>
      <c r="AK79" s="98">
        <v>10</v>
      </c>
      <c r="AL79" s="98">
        <v>2</v>
      </c>
      <c r="AM79" s="98"/>
      <c r="AN79" s="98"/>
      <c r="AO79" s="98"/>
      <c r="AP79" s="98"/>
      <c r="AQ79" s="98"/>
      <c r="AR79" s="98"/>
      <c r="AS79" s="98"/>
      <c r="AT79" s="98">
        <f t="shared" si="7"/>
        <v>0</v>
      </c>
      <c r="AU79" s="99"/>
    </row>
    <row r="80" customFormat="1" ht="34" customHeight="1" spans="1:47">
      <c r="A80" s="92">
        <f t="shared" si="5"/>
        <v>77</v>
      </c>
      <c r="B80" s="93" t="s">
        <v>344</v>
      </c>
      <c r="C80" s="94" t="s">
        <v>333</v>
      </c>
      <c r="D80" s="95" t="s">
        <v>23</v>
      </c>
      <c r="E80" s="95" t="s">
        <v>23</v>
      </c>
      <c r="F80" s="95" t="s">
        <v>24</v>
      </c>
      <c r="G80" s="95" t="s">
        <v>24</v>
      </c>
      <c r="H80" s="95" t="s">
        <v>24</v>
      </c>
      <c r="I80" s="97" t="s">
        <v>26</v>
      </c>
      <c r="J80" s="97" t="s">
        <v>26</v>
      </c>
      <c r="K80" s="97" t="s">
        <v>26</v>
      </c>
      <c r="L80" s="97" t="s">
        <v>26</v>
      </c>
      <c r="M80" s="95" t="s">
        <v>24</v>
      </c>
      <c r="N80" s="97" t="s">
        <v>26</v>
      </c>
      <c r="O80" s="97" t="s">
        <v>26</v>
      </c>
      <c r="P80" s="97" t="s">
        <v>26</v>
      </c>
      <c r="Q80" s="97" t="s">
        <v>26</v>
      </c>
      <c r="R80" s="97" t="s">
        <v>26</v>
      </c>
      <c r="S80" s="95" t="s">
        <v>24</v>
      </c>
      <c r="T80" s="95" t="s">
        <v>24</v>
      </c>
      <c r="U80" s="97" t="s">
        <v>26</v>
      </c>
      <c r="V80" s="97" t="s">
        <v>26</v>
      </c>
      <c r="W80" s="96" t="s">
        <v>29</v>
      </c>
      <c r="X80" s="97" t="s">
        <v>26</v>
      </c>
      <c r="Y80" s="97" t="s">
        <v>26</v>
      </c>
      <c r="Z80" s="95" t="s">
        <v>24</v>
      </c>
      <c r="AA80" s="95" t="s">
        <v>24</v>
      </c>
      <c r="AB80" s="97" t="s">
        <v>26</v>
      </c>
      <c r="AC80" s="97" t="s">
        <v>26</v>
      </c>
      <c r="AD80" s="97" t="s">
        <v>26</v>
      </c>
      <c r="AE80" s="97" t="s">
        <v>26</v>
      </c>
      <c r="AF80" s="97" t="s">
        <v>26</v>
      </c>
      <c r="AG80" s="95" t="s">
        <v>24</v>
      </c>
      <c r="AH80" s="95" t="s">
        <v>24</v>
      </c>
      <c r="AI80" s="98">
        <v>31</v>
      </c>
      <c r="AJ80" s="98">
        <f t="shared" si="6"/>
        <v>18.56</v>
      </c>
      <c r="AK80" s="98">
        <v>10</v>
      </c>
      <c r="AL80" s="98">
        <v>2</v>
      </c>
      <c r="AM80" s="98">
        <v>0.44</v>
      </c>
      <c r="AN80" s="98"/>
      <c r="AO80" s="98">
        <v>0.44</v>
      </c>
      <c r="AP80" s="98"/>
      <c r="AQ80" s="98"/>
      <c r="AR80" s="98"/>
      <c r="AS80" s="98"/>
      <c r="AT80" s="98">
        <f t="shared" si="7"/>
        <v>0</v>
      </c>
      <c r="AU80" s="99" t="s">
        <v>30</v>
      </c>
    </row>
    <row r="81" customFormat="1" ht="34" customHeight="1" spans="1:47">
      <c r="A81" s="92">
        <f t="shared" si="5"/>
        <v>78</v>
      </c>
      <c r="B81" s="93" t="s">
        <v>345</v>
      </c>
      <c r="C81" s="94" t="s">
        <v>333</v>
      </c>
      <c r="D81" s="95" t="s">
        <v>23</v>
      </c>
      <c r="E81" s="95" t="s">
        <v>23</v>
      </c>
      <c r="F81" s="95" t="s">
        <v>24</v>
      </c>
      <c r="G81" s="95" t="s">
        <v>24</v>
      </c>
      <c r="H81" s="95" t="s">
        <v>24</v>
      </c>
      <c r="I81" s="97" t="s">
        <v>26</v>
      </c>
      <c r="J81" s="97" t="s">
        <v>26</v>
      </c>
      <c r="K81" s="97" t="s">
        <v>26</v>
      </c>
      <c r="L81" s="97" t="s">
        <v>26</v>
      </c>
      <c r="M81" s="95" t="s">
        <v>24</v>
      </c>
      <c r="N81" s="97" t="s">
        <v>26</v>
      </c>
      <c r="O81" s="97" t="s">
        <v>26</v>
      </c>
      <c r="P81" s="97" t="s">
        <v>26</v>
      </c>
      <c r="Q81" s="97" t="s">
        <v>26</v>
      </c>
      <c r="R81" s="97" t="s">
        <v>26</v>
      </c>
      <c r="S81" s="95" t="s">
        <v>24</v>
      </c>
      <c r="T81" s="95" t="s">
        <v>24</v>
      </c>
      <c r="U81" s="97" t="s">
        <v>26</v>
      </c>
      <c r="V81" s="97" t="s">
        <v>26</v>
      </c>
      <c r="W81" s="97" t="s">
        <v>26</v>
      </c>
      <c r="X81" s="97" t="s">
        <v>26</v>
      </c>
      <c r="Y81" s="97" t="s">
        <v>26</v>
      </c>
      <c r="Z81" s="95" t="s">
        <v>24</v>
      </c>
      <c r="AA81" s="95" t="s">
        <v>24</v>
      </c>
      <c r="AB81" s="97" t="s">
        <v>26</v>
      </c>
      <c r="AC81" s="97" t="s">
        <v>26</v>
      </c>
      <c r="AD81" s="97" t="s">
        <v>26</v>
      </c>
      <c r="AE81" s="97" t="s">
        <v>26</v>
      </c>
      <c r="AF81" s="97" t="s">
        <v>26</v>
      </c>
      <c r="AG81" s="95" t="s">
        <v>24</v>
      </c>
      <c r="AH81" s="95" t="s">
        <v>24</v>
      </c>
      <c r="AI81" s="98">
        <v>31</v>
      </c>
      <c r="AJ81" s="98">
        <f t="shared" si="6"/>
        <v>19</v>
      </c>
      <c r="AK81" s="98">
        <v>10</v>
      </c>
      <c r="AL81" s="98">
        <v>2</v>
      </c>
      <c r="AM81" s="98"/>
      <c r="AN81" s="98"/>
      <c r="AO81" s="98"/>
      <c r="AP81" s="98"/>
      <c r="AQ81" s="98"/>
      <c r="AR81" s="98"/>
      <c r="AS81" s="98"/>
      <c r="AT81" s="98">
        <f t="shared" si="7"/>
        <v>0</v>
      </c>
      <c r="AU81" s="99"/>
    </row>
    <row r="82" customFormat="1" ht="34" customHeight="1" spans="1:47">
      <c r="A82" s="92">
        <f t="shared" si="5"/>
        <v>79</v>
      </c>
      <c r="B82" s="93" t="s">
        <v>148</v>
      </c>
      <c r="C82" s="94" t="s">
        <v>346</v>
      </c>
      <c r="D82" s="95" t="s">
        <v>23</v>
      </c>
      <c r="E82" s="95" t="s">
        <v>23</v>
      </c>
      <c r="F82" s="95" t="s">
        <v>24</v>
      </c>
      <c r="G82" s="95" t="s">
        <v>24</v>
      </c>
      <c r="H82" s="95" t="s">
        <v>24</v>
      </c>
      <c r="I82" s="96" t="s">
        <v>347</v>
      </c>
      <c r="J82" s="97" t="s">
        <v>26</v>
      </c>
      <c r="K82" s="97" t="s">
        <v>26</v>
      </c>
      <c r="L82" s="97" t="s">
        <v>26</v>
      </c>
      <c r="M82" s="95" t="s">
        <v>24</v>
      </c>
      <c r="N82" s="97" t="s">
        <v>26</v>
      </c>
      <c r="O82" s="97" t="s">
        <v>26</v>
      </c>
      <c r="P82" s="97" t="s">
        <v>26</v>
      </c>
      <c r="Q82" s="97" t="s">
        <v>26</v>
      </c>
      <c r="R82" s="97" t="s">
        <v>26</v>
      </c>
      <c r="S82" s="95" t="s">
        <v>24</v>
      </c>
      <c r="T82" s="95" t="s">
        <v>24</v>
      </c>
      <c r="U82" s="97" t="s">
        <v>26</v>
      </c>
      <c r="V82" s="97" t="s">
        <v>26</v>
      </c>
      <c r="W82" s="97" t="s">
        <v>26</v>
      </c>
      <c r="X82" s="97" t="s">
        <v>26</v>
      </c>
      <c r="Y82" s="97" t="s">
        <v>26</v>
      </c>
      <c r="Z82" s="95" t="s">
        <v>24</v>
      </c>
      <c r="AA82" s="95" t="s">
        <v>24</v>
      </c>
      <c r="AB82" s="97" t="s">
        <v>26</v>
      </c>
      <c r="AC82" s="97" t="s">
        <v>26</v>
      </c>
      <c r="AD82" s="97" t="s">
        <v>26</v>
      </c>
      <c r="AE82" s="97" t="s">
        <v>26</v>
      </c>
      <c r="AF82" s="97" t="s">
        <v>26</v>
      </c>
      <c r="AG82" s="95" t="s">
        <v>24</v>
      </c>
      <c r="AH82" s="95" t="s">
        <v>24</v>
      </c>
      <c r="AI82" s="98">
        <v>31</v>
      </c>
      <c r="AJ82" s="98">
        <f t="shared" si="6"/>
        <v>18.5</v>
      </c>
      <c r="AK82" s="98">
        <v>10</v>
      </c>
      <c r="AL82" s="98">
        <v>2</v>
      </c>
      <c r="AM82" s="98">
        <v>0.5</v>
      </c>
      <c r="AN82" s="98"/>
      <c r="AO82" s="98">
        <v>0.5</v>
      </c>
      <c r="AP82" s="98"/>
      <c r="AQ82" s="98"/>
      <c r="AR82" s="98"/>
      <c r="AS82" s="98"/>
      <c r="AT82" s="98">
        <f t="shared" si="7"/>
        <v>0</v>
      </c>
      <c r="AU82" s="99" t="s">
        <v>348</v>
      </c>
    </row>
    <row r="83" customFormat="1" ht="34" customHeight="1" spans="1:47">
      <c r="A83" s="92">
        <f t="shared" si="5"/>
        <v>80</v>
      </c>
      <c r="B83" s="93" t="s">
        <v>149</v>
      </c>
      <c r="C83" s="94" t="s">
        <v>346</v>
      </c>
      <c r="D83" s="95" t="s">
        <v>23</v>
      </c>
      <c r="E83" s="95" t="s">
        <v>23</v>
      </c>
      <c r="F83" s="95" t="s">
        <v>24</v>
      </c>
      <c r="G83" s="95" t="s">
        <v>24</v>
      </c>
      <c r="H83" s="95" t="s">
        <v>24</v>
      </c>
      <c r="I83" s="97" t="s">
        <v>26</v>
      </c>
      <c r="J83" s="97" t="s">
        <v>26</v>
      </c>
      <c r="K83" s="97" t="s">
        <v>26</v>
      </c>
      <c r="L83" s="97" t="s">
        <v>26</v>
      </c>
      <c r="M83" s="95" t="s">
        <v>24</v>
      </c>
      <c r="N83" s="97" t="s">
        <v>26</v>
      </c>
      <c r="O83" s="97" t="s">
        <v>26</v>
      </c>
      <c r="P83" s="97" t="s">
        <v>26</v>
      </c>
      <c r="Q83" s="97" t="s">
        <v>26</v>
      </c>
      <c r="R83" s="97" t="s">
        <v>26</v>
      </c>
      <c r="S83" s="95" t="s">
        <v>24</v>
      </c>
      <c r="T83" s="95" t="s">
        <v>24</v>
      </c>
      <c r="U83" s="97" t="s">
        <v>26</v>
      </c>
      <c r="V83" s="97" t="s">
        <v>26</v>
      </c>
      <c r="W83" s="97" t="s">
        <v>26</v>
      </c>
      <c r="X83" s="97" t="s">
        <v>26</v>
      </c>
      <c r="Y83" s="97" t="s">
        <v>26</v>
      </c>
      <c r="Z83" s="95" t="s">
        <v>24</v>
      </c>
      <c r="AA83" s="95" t="s">
        <v>24</v>
      </c>
      <c r="AB83" s="97" t="s">
        <v>26</v>
      </c>
      <c r="AC83" s="97" t="s">
        <v>26</v>
      </c>
      <c r="AD83" s="97" t="s">
        <v>26</v>
      </c>
      <c r="AE83" s="97" t="s">
        <v>26</v>
      </c>
      <c r="AF83" s="97" t="s">
        <v>26</v>
      </c>
      <c r="AG83" s="95" t="s">
        <v>24</v>
      </c>
      <c r="AH83" s="95" t="s">
        <v>24</v>
      </c>
      <c r="AI83" s="98">
        <v>31</v>
      </c>
      <c r="AJ83" s="98">
        <f t="shared" si="6"/>
        <v>19</v>
      </c>
      <c r="AK83" s="98">
        <v>10</v>
      </c>
      <c r="AL83" s="98">
        <v>2</v>
      </c>
      <c r="AM83" s="98"/>
      <c r="AN83" s="98"/>
      <c r="AO83" s="98"/>
      <c r="AP83" s="98"/>
      <c r="AQ83" s="98"/>
      <c r="AR83" s="98"/>
      <c r="AS83" s="98"/>
      <c r="AT83" s="98">
        <f t="shared" si="7"/>
        <v>0</v>
      </c>
      <c r="AU83" s="99"/>
    </row>
    <row r="84" customFormat="1" ht="34" customHeight="1" spans="1:47">
      <c r="A84" s="92">
        <f t="shared" si="5"/>
        <v>81</v>
      </c>
      <c r="B84" s="93" t="s">
        <v>150</v>
      </c>
      <c r="C84" s="94" t="s">
        <v>346</v>
      </c>
      <c r="D84" s="95" t="s">
        <v>23</v>
      </c>
      <c r="E84" s="95" t="s">
        <v>23</v>
      </c>
      <c r="F84" s="95" t="s">
        <v>24</v>
      </c>
      <c r="G84" s="95" t="s">
        <v>24</v>
      </c>
      <c r="H84" s="95" t="s">
        <v>24</v>
      </c>
      <c r="I84" s="97" t="s">
        <v>26</v>
      </c>
      <c r="J84" s="97" t="s">
        <v>26</v>
      </c>
      <c r="K84" s="97" t="s">
        <v>26</v>
      </c>
      <c r="L84" s="97" t="s">
        <v>26</v>
      </c>
      <c r="M84" s="95" t="s">
        <v>24</v>
      </c>
      <c r="N84" s="97" t="s">
        <v>26</v>
      </c>
      <c r="O84" s="97" t="s">
        <v>26</v>
      </c>
      <c r="P84" s="97" t="s">
        <v>26</v>
      </c>
      <c r="Q84" s="97" t="s">
        <v>26</v>
      </c>
      <c r="R84" s="97" t="s">
        <v>26</v>
      </c>
      <c r="S84" s="95" t="s">
        <v>24</v>
      </c>
      <c r="T84" s="95" t="s">
        <v>24</v>
      </c>
      <c r="U84" s="97" t="s">
        <v>26</v>
      </c>
      <c r="V84" s="97" t="s">
        <v>26</v>
      </c>
      <c r="W84" s="97" t="s">
        <v>26</v>
      </c>
      <c r="X84" s="97" t="s">
        <v>26</v>
      </c>
      <c r="Y84" s="97" t="s">
        <v>26</v>
      </c>
      <c r="Z84" s="95" t="s">
        <v>24</v>
      </c>
      <c r="AA84" s="95" t="s">
        <v>24</v>
      </c>
      <c r="AB84" s="97" t="s">
        <v>26</v>
      </c>
      <c r="AC84" s="97" t="s">
        <v>26</v>
      </c>
      <c r="AD84" s="97" t="s">
        <v>26</v>
      </c>
      <c r="AE84" s="97" t="s">
        <v>26</v>
      </c>
      <c r="AF84" s="97" t="s">
        <v>26</v>
      </c>
      <c r="AG84" s="95" t="s">
        <v>24</v>
      </c>
      <c r="AH84" s="95" t="s">
        <v>24</v>
      </c>
      <c r="AI84" s="98">
        <v>31</v>
      </c>
      <c r="AJ84" s="98">
        <f t="shared" si="6"/>
        <v>19</v>
      </c>
      <c r="AK84" s="98">
        <v>10</v>
      </c>
      <c r="AL84" s="98">
        <v>2</v>
      </c>
      <c r="AM84" s="98"/>
      <c r="AN84" s="98"/>
      <c r="AO84" s="98"/>
      <c r="AP84" s="98"/>
      <c r="AQ84" s="98"/>
      <c r="AR84" s="98"/>
      <c r="AS84" s="98"/>
      <c r="AT84" s="98">
        <f t="shared" si="7"/>
        <v>0</v>
      </c>
      <c r="AU84" s="99"/>
    </row>
    <row r="85" customFormat="1" ht="34" customHeight="1" spans="1:47">
      <c r="A85" s="92">
        <f t="shared" si="5"/>
        <v>82</v>
      </c>
      <c r="B85" s="93" t="s">
        <v>153</v>
      </c>
      <c r="C85" s="94" t="s">
        <v>346</v>
      </c>
      <c r="D85" s="95" t="s">
        <v>23</v>
      </c>
      <c r="E85" s="95" t="s">
        <v>23</v>
      </c>
      <c r="F85" s="95" t="s">
        <v>24</v>
      </c>
      <c r="G85" s="95" t="s">
        <v>24</v>
      </c>
      <c r="H85" s="95" t="s">
        <v>24</v>
      </c>
      <c r="I85" s="97" t="s">
        <v>26</v>
      </c>
      <c r="J85" s="97" t="s">
        <v>26</v>
      </c>
      <c r="K85" s="97" t="s">
        <v>26</v>
      </c>
      <c r="L85" s="97" t="s">
        <v>26</v>
      </c>
      <c r="M85" s="95" t="s">
        <v>24</v>
      </c>
      <c r="N85" s="97" t="s">
        <v>26</v>
      </c>
      <c r="O85" s="97" t="s">
        <v>26</v>
      </c>
      <c r="P85" s="97" t="s">
        <v>26</v>
      </c>
      <c r="Q85" s="97" t="s">
        <v>26</v>
      </c>
      <c r="R85" s="97" t="s">
        <v>26</v>
      </c>
      <c r="S85" s="95" t="s">
        <v>24</v>
      </c>
      <c r="T85" s="95" t="s">
        <v>24</v>
      </c>
      <c r="U85" s="97" t="s">
        <v>26</v>
      </c>
      <c r="V85" s="97" t="s">
        <v>26</v>
      </c>
      <c r="W85" s="97" t="s">
        <v>26</v>
      </c>
      <c r="X85" s="97" t="s">
        <v>26</v>
      </c>
      <c r="Y85" s="97" t="s">
        <v>26</v>
      </c>
      <c r="Z85" s="95" t="s">
        <v>24</v>
      </c>
      <c r="AA85" s="95" t="s">
        <v>24</v>
      </c>
      <c r="AB85" s="97" t="s">
        <v>26</v>
      </c>
      <c r="AC85" s="97" t="s">
        <v>26</v>
      </c>
      <c r="AD85" s="97" t="s">
        <v>26</v>
      </c>
      <c r="AE85" s="97" t="s">
        <v>26</v>
      </c>
      <c r="AF85" s="97" t="s">
        <v>26</v>
      </c>
      <c r="AG85" s="95" t="s">
        <v>24</v>
      </c>
      <c r="AH85" s="95" t="s">
        <v>24</v>
      </c>
      <c r="AI85" s="98">
        <v>31</v>
      </c>
      <c r="AJ85" s="98">
        <f t="shared" si="6"/>
        <v>19</v>
      </c>
      <c r="AK85" s="98">
        <v>10</v>
      </c>
      <c r="AL85" s="98">
        <v>2</v>
      </c>
      <c r="AM85" s="98"/>
      <c r="AN85" s="98"/>
      <c r="AO85" s="98"/>
      <c r="AP85" s="98"/>
      <c r="AQ85" s="98"/>
      <c r="AR85" s="98"/>
      <c r="AS85" s="98"/>
      <c r="AT85" s="98">
        <f t="shared" si="7"/>
        <v>0</v>
      </c>
      <c r="AU85" s="99"/>
    </row>
    <row r="86" customFormat="1" ht="34" customHeight="1" spans="1:47">
      <c r="A86" s="92">
        <f t="shared" si="5"/>
        <v>83</v>
      </c>
      <c r="B86" s="93" t="s">
        <v>154</v>
      </c>
      <c r="C86" s="94" t="s">
        <v>346</v>
      </c>
      <c r="D86" s="95" t="s">
        <v>23</v>
      </c>
      <c r="E86" s="95" t="s">
        <v>23</v>
      </c>
      <c r="F86" s="95" t="s">
        <v>24</v>
      </c>
      <c r="G86" s="95" t="s">
        <v>24</v>
      </c>
      <c r="H86" s="95" t="s">
        <v>24</v>
      </c>
      <c r="I86" s="96" t="s">
        <v>88</v>
      </c>
      <c r="J86" s="96" t="s">
        <v>88</v>
      </c>
      <c r="K86" s="96" t="s">
        <v>88</v>
      </c>
      <c r="L86" s="96" t="s">
        <v>88</v>
      </c>
      <c r="M86" s="95" t="s">
        <v>24</v>
      </c>
      <c r="N86" s="97" t="s">
        <v>26</v>
      </c>
      <c r="O86" s="97" t="s">
        <v>26</v>
      </c>
      <c r="P86" s="97" t="s">
        <v>26</v>
      </c>
      <c r="Q86" s="97" t="s">
        <v>26</v>
      </c>
      <c r="R86" s="97" t="s">
        <v>26</v>
      </c>
      <c r="S86" s="95" t="s">
        <v>24</v>
      </c>
      <c r="T86" s="95" t="s">
        <v>24</v>
      </c>
      <c r="U86" s="97" t="s">
        <v>26</v>
      </c>
      <c r="V86" s="97" t="s">
        <v>26</v>
      </c>
      <c r="W86" s="97" t="s">
        <v>26</v>
      </c>
      <c r="X86" s="97" t="s">
        <v>26</v>
      </c>
      <c r="Y86" s="97" t="s">
        <v>26</v>
      </c>
      <c r="Z86" s="95" t="s">
        <v>24</v>
      </c>
      <c r="AA86" s="95" t="s">
        <v>24</v>
      </c>
      <c r="AB86" s="97" t="s">
        <v>26</v>
      </c>
      <c r="AC86" s="97" t="s">
        <v>26</v>
      </c>
      <c r="AD86" s="97" t="s">
        <v>26</v>
      </c>
      <c r="AE86" s="97" t="s">
        <v>26</v>
      </c>
      <c r="AF86" s="97" t="s">
        <v>26</v>
      </c>
      <c r="AG86" s="95" t="s">
        <v>24</v>
      </c>
      <c r="AH86" s="95" t="s">
        <v>24</v>
      </c>
      <c r="AI86" s="98">
        <v>31</v>
      </c>
      <c r="AJ86" s="98">
        <f t="shared" si="6"/>
        <v>15</v>
      </c>
      <c r="AK86" s="98">
        <v>10</v>
      </c>
      <c r="AL86" s="98">
        <v>2</v>
      </c>
      <c r="AM86" s="98">
        <v>4</v>
      </c>
      <c r="AN86" s="98"/>
      <c r="AO86" s="98">
        <v>4</v>
      </c>
      <c r="AP86" s="98"/>
      <c r="AQ86" s="98"/>
      <c r="AR86" s="98"/>
      <c r="AS86" s="98"/>
      <c r="AT86" s="98">
        <f t="shared" si="7"/>
        <v>0</v>
      </c>
      <c r="AU86" s="99" t="s">
        <v>349</v>
      </c>
    </row>
    <row r="87" customFormat="1" ht="34" customHeight="1" spans="1:47">
      <c r="A87" s="92">
        <f t="shared" si="5"/>
        <v>84</v>
      </c>
      <c r="B87" s="93" t="s">
        <v>156</v>
      </c>
      <c r="C87" s="94" t="s">
        <v>346</v>
      </c>
      <c r="D87" s="95" t="s">
        <v>23</v>
      </c>
      <c r="E87" s="95" t="s">
        <v>23</v>
      </c>
      <c r="F87" s="95" t="s">
        <v>24</v>
      </c>
      <c r="G87" s="95" t="s">
        <v>24</v>
      </c>
      <c r="H87" s="95" t="s">
        <v>24</v>
      </c>
      <c r="I87" s="97" t="s">
        <v>26</v>
      </c>
      <c r="J87" s="97" t="s">
        <v>26</v>
      </c>
      <c r="K87" s="97" t="s">
        <v>26</v>
      </c>
      <c r="L87" s="97" t="s">
        <v>26</v>
      </c>
      <c r="M87" s="95" t="s">
        <v>24</v>
      </c>
      <c r="N87" s="97" t="s">
        <v>26</v>
      </c>
      <c r="O87" s="97" t="s">
        <v>26</v>
      </c>
      <c r="P87" s="97" t="s">
        <v>26</v>
      </c>
      <c r="Q87" s="97" t="s">
        <v>26</v>
      </c>
      <c r="R87" s="97" t="s">
        <v>26</v>
      </c>
      <c r="S87" s="95" t="s">
        <v>24</v>
      </c>
      <c r="T87" s="95" t="s">
        <v>24</v>
      </c>
      <c r="U87" s="97" t="s">
        <v>26</v>
      </c>
      <c r="V87" s="97" t="s">
        <v>26</v>
      </c>
      <c r="W87" s="97" t="s">
        <v>26</v>
      </c>
      <c r="X87" s="97" t="s">
        <v>26</v>
      </c>
      <c r="Y87" s="97" t="s">
        <v>26</v>
      </c>
      <c r="Z87" s="95" t="s">
        <v>24</v>
      </c>
      <c r="AA87" s="95" t="s">
        <v>24</v>
      </c>
      <c r="AB87" s="97" t="s">
        <v>26</v>
      </c>
      <c r="AC87" s="97" t="s">
        <v>26</v>
      </c>
      <c r="AD87" s="97" t="s">
        <v>26</v>
      </c>
      <c r="AE87" s="97" t="s">
        <v>26</v>
      </c>
      <c r="AF87" s="97" t="s">
        <v>26</v>
      </c>
      <c r="AG87" s="95" t="s">
        <v>24</v>
      </c>
      <c r="AH87" s="95" t="s">
        <v>24</v>
      </c>
      <c r="AI87" s="98">
        <v>31</v>
      </c>
      <c r="AJ87" s="98">
        <f t="shared" si="6"/>
        <v>19</v>
      </c>
      <c r="AK87" s="98">
        <v>10</v>
      </c>
      <c r="AL87" s="98">
        <v>2</v>
      </c>
      <c r="AM87" s="98"/>
      <c r="AN87" s="98"/>
      <c r="AO87" s="98"/>
      <c r="AP87" s="98"/>
      <c r="AQ87" s="98"/>
      <c r="AR87" s="98"/>
      <c r="AS87" s="98"/>
      <c r="AT87" s="98">
        <f t="shared" si="7"/>
        <v>0</v>
      </c>
      <c r="AU87" s="99"/>
    </row>
    <row r="88" customFormat="1" ht="34" customHeight="1" spans="1:47">
      <c r="A88" s="92">
        <f t="shared" si="5"/>
        <v>85</v>
      </c>
      <c r="B88" s="93" t="s">
        <v>158</v>
      </c>
      <c r="C88" s="94" t="s">
        <v>346</v>
      </c>
      <c r="D88" s="95" t="s">
        <v>23</v>
      </c>
      <c r="E88" s="95" t="s">
        <v>23</v>
      </c>
      <c r="F88" s="95" t="s">
        <v>24</v>
      </c>
      <c r="G88" s="95" t="s">
        <v>24</v>
      </c>
      <c r="H88" s="95" t="s">
        <v>24</v>
      </c>
      <c r="I88" s="97" t="s">
        <v>26</v>
      </c>
      <c r="J88" s="97" t="s">
        <v>26</v>
      </c>
      <c r="K88" s="97" t="s">
        <v>26</v>
      </c>
      <c r="L88" s="97" t="s">
        <v>26</v>
      </c>
      <c r="M88" s="95" t="s">
        <v>24</v>
      </c>
      <c r="N88" s="97" t="s">
        <v>26</v>
      </c>
      <c r="O88" s="97" t="s">
        <v>26</v>
      </c>
      <c r="P88" s="97" t="s">
        <v>26</v>
      </c>
      <c r="Q88" s="97" t="s">
        <v>26</v>
      </c>
      <c r="R88" s="97" t="s">
        <v>26</v>
      </c>
      <c r="S88" s="95" t="s">
        <v>24</v>
      </c>
      <c r="T88" s="95" t="s">
        <v>24</v>
      </c>
      <c r="U88" s="97" t="s">
        <v>26</v>
      </c>
      <c r="V88" s="97" t="s">
        <v>26</v>
      </c>
      <c r="W88" s="97" t="s">
        <v>26</v>
      </c>
      <c r="X88" s="97" t="s">
        <v>26</v>
      </c>
      <c r="Y88" s="97" t="s">
        <v>26</v>
      </c>
      <c r="Z88" s="95" t="s">
        <v>24</v>
      </c>
      <c r="AA88" s="95" t="s">
        <v>24</v>
      </c>
      <c r="AB88" s="97" t="s">
        <v>26</v>
      </c>
      <c r="AC88" s="97" t="s">
        <v>26</v>
      </c>
      <c r="AD88" s="97" t="s">
        <v>26</v>
      </c>
      <c r="AE88" s="97" t="s">
        <v>26</v>
      </c>
      <c r="AF88" s="97" t="s">
        <v>26</v>
      </c>
      <c r="AG88" s="95" t="s">
        <v>24</v>
      </c>
      <c r="AH88" s="95" t="s">
        <v>24</v>
      </c>
      <c r="AI88" s="98">
        <v>31</v>
      </c>
      <c r="AJ88" s="98">
        <f t="shared" si="6"/>
        <v>19</v>
      </c>
      <c r="AK88" s="98">
        <v>10</v>
      </c>
      <c r="AL88" s="98">
        <v>2</v>
      </c>
      <c r="AM88" s="98"/>
      <c r="AN88" s="98"/>
      <c r="AO88" s="98"/>
      <c r="AP88" s="98"/>
      <c r="AQ88" s="98"/>
      <c r="AR88" s="98"/>
      <c r="AS88" s="98"/>
      <c r="AT88" s="98">
        <f t="shared" si="7"/>
        <v>0</v>
      </c>
      <c r="AU88" s="99"/>
    </row>
    <row r="89" customFormat="1" ht="34" customHeight="1" spans="1:47">
      <c r="A89" s="92">
        <f t="shared" si="5"/>
        <v>86</v>
      </c>
      <c r="B89" s="93" t="s">
        <v>350</v>
      </c>
      <c r="C89" s="94" t="s">
        <v>346</v>
      </c>
      <c r="D89" s="95" t="s">
        <v>23</v>
      </c>
      <c r="E89" s="95" t="s">
        <v>23</v>
      </c>
      <c r="F89" s="95" t="s">
        <v>24</v>
      </c>
      <c r="G89" s="95" t="s">
        <v>24</v>
      </c>
      <c r="H89" s="95" t="s">
        <v>24</v>
      </c>
      <c r="I89" s="97" t="s">
        <v>26</v>
      </c>
      <c r="J89" s="97" t="s">
        <v>26</v>
      </c>
      <c r="K89" s="97" t="s">
        <v>26</v>
      </c>
      <c r="L89" s="97" t="s">
        <v>26</v>
      </c>
      <c r="M89" s="95" t="s">
        <v>24</v>
      </c>
      <c r="N89" s="97" t="s">
        <v>26</v>
      </c>
      <c r="O89" s="97" t="s">
        <v>26</v>
      </c>
      <c r="P89" s="97" t="s">
        <v>26</v>
      </c>
      <c r="Q89" s="97" t="s">
        <v>26</v>
      </c>
      <c r="R89" s="97" t="s">
        <v>26</v>
      </c>
      <c r="S89" s="95" t="s">
        <v>24</v>
      </c>
      <c r="T89" s="95" t="s">
        <v>24</v>
      </c>
      <c r="U89" s="100" t="s">
        <v>351</v>
      </c>
      <c r="V89" s="97" t="s">
        <v>26</v>
      </c>
      <c r="W89" s="97" t="s">
        <v>26</v>
      </c>
      <c r="X89" s="97" t="s">
        <v>26</v>
      </c>
      <c r="Y89" s="97" t="s">
        <v>26</v>
      </c>
      <c r="Z89" s="95" t="s">
        <v>24</v>
      </c>
      <c r="AA89" s="95" t="s">
        <v>24</v>
      </c>
      <c r="AB89" s="97" t="s">
        <v>26</v>
      </c>
      <c r="AC89" s="97" t="s">
        <v>26</v>
      </c>
      <c r="AD89" s="97" t="s">
        <v>26</v>
      </c>
      <c r="AE89" s="97" t="s">
        <v>26</v>
      </c>
      <c r="AF89" s="97" t="s">
        <v>26</v>
      </c>
      <c r="AG89" s="95" t="s">
        <v>24</v>
      </c>
      <c r="AH89" s="95" t="s">
        <v>24</v>
      </c>
      <c r="AI89" s="98">
        <v>31</v>
      </c>
      <c r="AJ89" s="98">
        <f t="shared" si="6"/>
        <v>18.44</v>
      </c>
      <c r="AK89" s="98">
        <v>10</v>
      </c>
      <c r="AL89" s="98">
        <v>2</v>
      </c>
      <c r="AM89" s="98">
        <v>0.56</v>
      </c>
      <c r="AN89" s="98"/>
      <c r="AO89" s="98"/>
      <c r="AP89" s="98"/>
      <c r="AQ89" s="98"/>
      <c r="AR89" s="98"/>
      <c r="AS89" s="98"/>
      <c r="AT89" s="98">
        <f t="shared" si="7"/>
        <v>0.56</v>
      </c>
      <c r="AU89" s="99"/>
    </row>
    <row r="90" customFormat="1" ht="34" customHeight="1" spans="1:47">
      <c r="A90" s="92">
        <f t="shared" si="5"/>
        <v>87</v>
      </c>
      <c r="B90" s="93" t="s">
        <v>159</v>
      </c>
      <c r="C90" s="94" t="s">
        <v>160</v>
      </c>
      <c r="D90" s="95" t="s">
        <v>23</v>
      </c>
      <c r="E90" s="95" t="s">
        <v>23</v>
      </c>
      <c r="F90" s="95" t="s">
        <v>24</v>
      </c>
      <c r="G90" s="95" t="s">
        <v>24</v>
      </c>
      <c r="H90" s="95" t="s">
        <v>24</v>
      </c>
      <c r="I90" s="97" t="s">
        <v>26</v>
      </c>
      <c r="J90" s="97" t="s">
        <v>26</v>
      </c>
      <c r="K90" s="97" t="s">
        <v>26</v>
      </c>
      <c r="L90" s="97" t="s">
        <v>26</v>
      </c>
      <c r="M90" s="95" t="s">
        <v>24</v>
      </c>
      <c r="N90" s="97" t="s">
        <v>26</v>
      </c>
      <c r="O90" s="97" t="s">
        <v>26</v>
      </c>
      <c r="P90" s="97" t="s">
        <v>26</v>
      </c>
      <c r="Q90" s="97" t="s">
        <v>26</v>
      </c>
      <c r="R90" s="97" t="s">
        <v>26</v>
      </c>
      <c r="S90" s="95" t="s">
        <v>24</v>
      </c>
      <c r="T90" s="95" t="s">
        <v>24</v>
      </c>
      <c r="U90" s="97" t="s">
        <v>26</v>
      </c>
      <c r="V90" s="97" t="s">
        <v>26</v>
      </c>
      <c r="W90" s="97" t="s">
        <v>26</v>
      </c>
      <c r="X90" s="97" t="s">
        <v>26</v>
      </c>
      <c r="Y90" s="97" t="s">
        <v>26</v>
      </c>
      <c r="Z90" s="95" t="s">
        <v>24</v>
      </c>
      <c r="AA90" s="95" t="s">
        <v>24</v>
      </c>
      <c r="AB90" s="97" t="s">
        <v>26</v>
      </c>
      <c r="AC90" s="100" t="s">
        <v>137</v>
      </c>
      <c r="AD90" s="97" t="s">
        <v>26</v>
      </c>
      <c r="AE90" s="97" t="s">
        <v>26</v>
      </c>
      <c r="AF90" s="97" t="s">
        <v>26</v>
      </c>
      <c r="AG90" s="95" t="s">
        <v>24</v>
      </c>
      <c r="AH90" s="95" t="s">
        <v>24</v>
      </c>
      <c r="AI90" s="98">
        <v>31</v>
      </c>
      <c r="AJ90" s="98">
        <f t="shared" si="6"/>
        <v>18.75</v>
      </c>
      <c r="AK90" s="98">
        <v>10</v>
      </c>
      <c r="AL90" s="98">
        <v>2</v>
      </c>
      <c r="AM90" s="98">
        <v>0.25</v>
      </c>
      <c r="AN90" s="98"/>
      <c r="AO90" s="98"/>
      <c r="AP90" s="98"/>
      <c r="AQ90" s="98"/>
      <c r="AR90" s="98"/>
      <c r="AS90" s="98"/>
      <c r="AT90" s="98">
        <f t="shared" si="7"/>
        <v>0.25</v>
      </c>
      <c r="AU90" s="99"/>
    </row>
    <row r="91" customFormat="1" ht="34" customHeight="1" spans="1:47">
      <c r="A91" s="92">
        <f t="shared" si="5"/>
        <v>88</v>
      </c>
      <c r="B91" s="93" t="s">
        <v>352</v>
      </c>
      <c r="C91" s="94" t="s">
        <v>160</v>
      </c>
      <c r="D91" s="95" t="s">
        <v>23</v>
      </c>
      <c r="E91" s="95" t="s">
        <v>23</v>
      </c>
      <c r="F91" s="95" t="s">
        <v>24</v>
      </c>
      <c r="G91" s="95" t="s">
        <v>24</v>
      </c>
      <c r="H91" s="95" t="s">
        <v>24</v>
      </c>
      <c r="I91" s="97" t="s">
        <v>26</v>
      </c>
      <c r="J91" s="97" t="s">
        <v>26</v>
      </c>
      <c r="K91" s="97" t="s">
        <v>26</v>
      </c>
      <c r="L91" s="100" t="s">
        <v>186</v>
      </c>
      <c r="M91" s="95" t="s">
        <v>24</v>
      </c>
      <c r="N91" s="97" t="s">
        <v>26</v>
      </c>
      <c r="O91" s="97" t="s">
        <v>26</v>
      </c>
      <c r="P91" s="97" t="s">
        <v>26</v>
      </c>
      <c r="Q91" s="100" t="s">
        <v>351</v>
      </c>
      <c r="R91" s="96" t="s">
        <v>88</v>
      </c>
      <c r="S91" s="95" t="s">
        <v>24</v>
      </c>
      <c r="T91" s="95" t="s">
        <v>24</v>
      </c>
      <c r="U91" s="97" t="s">
        <v>26</v>
      </c>
      <c r="V91" s="97" t="s">
        <v>26</v>
      </c>
      <c r="W91" s="97" t="s">
        <v>26</v>
      </c>
      <c r="X91" s="97" t="s">
        <v>26</v>
      </c>
      <c r="Y91" s="97" t="s">
        <v>26</v>
      </c>
      <c r="Z91" s="95" t="s">
        <v>24</v>
      </c>
      <c r="AA91" s="95" t="s">
        <v>24</v>
      </c>
      <c r="AB91" s="97" t="s">
        <v>26</v>
      </c>
      <c r="AC91" s="97" t="s">
        <v>26</v>
      </c>
      <c r="AD91" s="97" t="s">
        <v>26</v>
      </c>
      <c r="AE91" s="97" t="s">
        <v>26</v>
      </c>
      <c r="AF91" s="97" t="s">
        <v>26</v>
      </c>
      <c r="AG91" s="95" t="s">
        <v>24</v>
      </c>
      <c r="AH91" s="95" t="s">
        <v>24</v>
      </c>
      <c r="AI91" s="98">
        <v>31</v>
      </c>
      <c r="AJ91" s="98">
        <f t="shared" si="6"/>
        <v>17.31</v>
      </c>
      <c r="AK91" s="98">
        <v>10</v>
      </c>
      <c r="AL91" s="98">
        <v>2</v>
      </c>
      <c r="AM91" s="98">
        <v>1.69</v>
      </c>
      <c r="AN91" s="98"/>
      <c r="AO91" s="98">
        <v>1</v>
      </c>
      <c r="AP91" s="98"/>
      <c r="AQ91" s="98"/>
      <c r="AR91" s="98"/>
      <c r="AS91" s="98"/>
      <c r="AT91" s="98">
        <f t="shared" si="7"/>
        <v>0.69</v>
      </c>
      <c r="AU91" s="99" t="s">
        <v>89</v>
      </c>
    </row>
    <row r="92" customFormat="1" ht="34" customHeight="1" spans="1:47">
      <c r="A92" s="92">
        <f t="shared" si="5"/>
        <v>89</v>
      </c>
      <c r="B92" s="93" t="s">
        <v>161</v>
      </c>
      <c r="C92" s="94" t="s">
        <v>160</v>
      </c>
      <c r="D92" s="95" t="s">
        <v>23</v>
      </c>
      <c r="E92" s="95" t="s">
        <v>23</v>
      </c>
      <c r="F92" s="95" t="s">
        <v>24</v>
      </c>
      <c r="G92" s="95" t="s">
        <v>24</v>
      </c>
      <c r="H92" s="95" t="s">
        <v>24</v>
      </c>
      <c r="I92" s="97" t="s">
        <v>26</v>
      </c>
      <c r="J92" s="97" t="s">
        <v>26</v>
      </c>
      <c r="K92" s="97" t="s">
        <v>26</v>
      </c>
      <c r="L92" s="97" t="s">
        <v>26</v>
      </c>
      <c r="M92" s="95" t="s">
        <v>24</v>
      </c>
      <c r="N92" s="97" t="s">
        <v>26</v>
      </c>
      <c r="O92" s="97" t="s">
        <v>26</v>
      </c>
      <c r="P92" s="100" t="s">
        <v>351</v>
      </c>
      <c r="Q92" s="97" t="s">
        <v>26</v>
      </c>
      <c r="R92" s="97" t="s">
        <v>26</v>
      </c>
      <c r="S92" s="95" t="s">
        <v>24</v>
      </c>
      <c r="T92" s="95" t="s">
        <v>24</v>
      </c>
      <c r="U92" s="97" t="s">
        <v>26</v>
      </c>
      <c r="V92" s="97" t="s">
        <v>26</v>
      </c>
      <c r="W92" s="97" t="s">
        <v>26</v>
      </c>
      <c r="X92" s="97" t="s">
        <v>26</v>
      </c>
      <c r="Y92" s="97" t="s">
        <v>26</v>
      </c>
      <c r="Z92" s="95" t="s">
        <v>24</v>
      </c>
      <c r="AA92" s="95" t="s">
        <v>24</v>
      </c>
      <c r="AB92" s="97" t="s">
        <v>26</v>
      </c>
      <c r="AC92" s="97" t="s">
        <v>26</v>
      </c>
      <c r="AD92" s="97" t="s">
        <v>26</v>
      </c>
      <c r="AE92" s="97" t="s">
        <v>26</v>
      </c>
      <c r="AF92" s="97" t="s">
        <v>26</v>
      </c>
      <c r="AG92" s="95" t="s">
        <v>24</v>
      </c>
      <c r="AH92" s="95" t="s">
        <v>24</v>
      </c>
      <c r="AI92" s="98">
        <v>31</v>
      </c>
      <c r="AJ92" s="98">
        <f t="shared" si="6"/>
        <v>18.44</v>
      </c>
      <c r="AK92" s="98">
        <v>10</v>
      </c>
      <c r="AL92" s="98">
        <v>2</v>
      </c>
      <c r="AM92" s="98">
        <v>0.56</v>
      </c>
      <c r="AN92" s="98"/>
      <c r="AO92" s="98"/>
      <c r="AP92" s="98"/>
      <c r="AQ92" s="98"/>
      <c r="AR92" s="98"/>
      <c r="AS92" s="98"/>
      <c r="AT92" s="98">
        <f t="shared" si="7"/>
        <v>0.56</v>
      </c>
      <c r="AU92" s="99"/>
    </row>
    <row r="93" customFormat="1" ht="34" customHeight="1" spans="1:47">
      <c r="A93" s="92">
        <f t="shared" si="5"/>
        <v>90</v>
      </c>
      <c r="B93" s="93" t="s">
        <v>353</v>
      </c>
      <c r="C93" s="94" t="s">
        <v>346</v>
      </c>
      <c r="D93" s="95" t="s">
        <v>23</v>
      </c>
      <c r="E93" s="95" t="s">
        <v>23</v>
      </c>
      <c r="F93" s="95" t="s">
        <v>24</v>
      </c>
      <c r="G93" s="95" t="s">
        <v>24</v>
      </c>
      <c r="H93" s="95" t="s">
        <v>24</v>
      </c>
      <c r="I93" s="97" t="s">
        <v>26</v>
      </c>
      <c r="J93" s="97" t="s">
        <v>26</v>
      </c>
      <c r="K93" s="97" t="s">
        <v>26</v>
      </c>
      <c r="L93" s="97" t="s">
        <v>26</v>
      </c>
      <c r="M93" s="95" t="s">
        <v>24</v>
      </c>
      <c r="N93" s="97" t="s">
        <v>26</v>
      </c>
      <c r="O93" s="97" t="s">
        <v>26</v>
      </c>
      <c r="P93" s="97" t="s">
        <v>26</v>
      </c>
      <c r="Q93" s="97" t="s">
        <v>26</v>
      </c>
      <c r="R93" s="97" t="s">
        <v>26</v>
      </c>
      <c r="S93" s="95" t="s">
        <v>24</v>
      </c>
      <c r="T93" s="95" t="s">
        <v>24</v>
      </c>
      <c r="U93" s="97" t="s">
        <v>26</v>
      </c>
      <c r="V93" s="97" t="s">
        <v>26</v>
      </c>
      <c r="W93" s="97" t="s">
        <v>26</v>
      </c>
      <c r="X93" s="97" t="s">
        <v>26</v>
      </c>
      <c r="Y93" s="97" t="s">
        <v>26</v>
      </c>
      <c r="Z93" s="95" t="s">
        <v>24</v>
      </c>
      <c r="AA93" s="95" t="s">
        <v>24</v>
      </c>
      <c r="AB93" s="97" t="s">
        <v>26</v>
      </c>
      <c r="AC93" s="97" t="s">
        <v>26</v>
      </c>
      <c r="AD93" s="97" t="s">
        <v>26</v>
      </c>
      <c r="AE93" s="97" t="s">
        <v>26</v>
      </c>
      <c r="AF93" s="97" t="s">
        <v>26</v>
      </c>
      <c r="AG93" s="95" t="s">
        <v>24</v>
      </c>
      <c r="AH93" s="95" t="s">
        <v>24</v>
      </c>
      <c r="AI93" s="98">
        <v>31</v>
      </c>
      <c r="AJ93" s="98">
        <f t="shared" si="6"/>
        <v>19</v>
      </c>
      <c r="AK93" s="98">
        <v>10</v>
      </c>
      <c r="AL93" s="98">
        <v>2</v>
      </c>
      <c r="AM93" s="98"/>
      <c r="AN93" s="98"/>
      <c r="AO93" s="98"/>
      <c r="AP93" s="98"/>
      <c r="AQ93" s="98"/>
      <c r="AR93" s="98"/>
      <c r="AS93" s="98"/>
      <c r="AT93" s="98">
        <f t="shared" si="7"/>
        <v>0</v>
      </c>
      <c r="AU93" s="99"/>
    </row>
    <row r="94" customFormat="1" ht="34" customHeight="1" spans="1:47">
      <c r="A94" s="92">
        <f t="shared" si="5"/>
        <v>91</v>
      </c>
      <c r="B94" s="93" t="s">
        <v>354</v>
      </c>
      <c r="C94" s="94" t="s">
        <v>160</v>
      </c>
      <c r="D94" s="95" t="s">
        <v>23</v>
      </c>
      <c r="E94" s="95" t="s">
        <v>23</v>
      </c>
      <c r="F94" s="95" t="s">
        <v>24</v>
      </c>
      <c r="G94" s="95" t="s">
        <v>24</v>
      </c>
      <c r="H94" s="95" t="s">
        <v>24</v>
      </c>
      <c r="I94" s="97" t="s">
        <v>26</v>
      </c>
      <c r="J94" s="97" t="s">
        <v>26</v>
      </c>
      <c r="K94" s="97" t="s">
        <v>26</v>
      </c>
      <c r="L94" s="97" t="s">
        <v>26</v>
      </c>
      <c r="M94" s="95" t="s">
        <v>24</v>
      </c>
      <c r="N94" s="97" t="s">
        <v>26</v>
      </c>
      <c r="O94" s="97" t="s">
        <v>26</v>
      </c>
      <c r="P94" s="97" t="s">
        <v>26</v>
      </c>
      <c r="Q94" s="97" t="s">
        <v>26</v>
      </c>
      <c r="R94" s="97" t="s">
        <v>26</v>
      </c>
      <c r="S94" s="95" t="s">
        <v>24</v>
      </c>
      <c r="T94" s="95" t="s">
        <v>24</v>
      </c>
      <c r="U94" s="97" t="s">
        <v>26</v>
      </c>
      <c r="V94" s="97" t="s">
        <v>26</v>
      </c>
      <c r="W94" s="97" t="s">
        <v>26</v>
      </c>
      <c r="X94" s="97" t="s">
        <v>26</v>
      </c>
      <c r="Y94" s="97" t="s">
        <v>26</v>
      </c>
      <c r="Z94" s="95" t="s">
        <v>24</v>
      </c>
      <c r="AA94" s="95" t="s">
        <v>24</v>
      </c>
      <c r="AB94" s="97" t="s">
        <v>26</v>
      </c>
      <c r="AC94" s="97" t="s">
        <v>26</v>
      </c>
      <c r="AD94" s="97" t="s">
        <v>26</v>
      </c>
      <c r="AE94" s="97" t="s">
        <v>26</v>
      </c>
      <c r="AF94" s="97" t="s">
        <v>26</v>
      </c>
      <c r="AG94" s="95" t="s">
        <v>24</v>
      </c>
      <c r="AH94" s="95" t="s">
        <v>24</v>
      </c>
      <c r="AI94" s="98">
        <v>31</v>
      </c>
      <c r="AJ94" s="98">
        <f t="shared" si="6"/>
        <v>19</v>
      </c>
      <c r="AK94" s="98">
        <v>10</v>
      </c>
      <c r="AL94" s="98">
        <v>2</v>
      </c>
      <c r="AM94" s="98"/>
      <c r="AN94" s="98"/>
      <c r="AO94" s="98"/>
      <c r="AP94" s="98"/>
      <c r="AQ94" s="98"/>
      <c r="AR94" s="98"/>
      <c r="AS94" s="98"/>
      <c r="AT94" s="98">
        <f t="shared" si="7"/>
        <v>0</v>
      </c>
      <c r="AU94" s="99"/>
    </row>
    <row r="95" customFormat="1" ht="34" customHeight="1" spans="1:47">
      <c r="A95" s="92">
        <f t="shared" si="5"/>
        <v>92</v>
      </c>
      <c r="B95" s="93" t="s">
        <v>355</v>
      </c>
      <c r="C95" s="94" t="s">
        <v>160</v>
      </c>
      <c r="D95" s="95" t="s">
        <v>23</v>
      </c>
      <c r="E95" s="95" t="s">
        <v>23</v>
      </c>
      <c r="F95" s="95" t="s">
        <v>24</v>
      </c>
      <c r="G95" s="95" t="s">
        <v>24</v>
      </c>
      <c r="H95" s="95" t="s">
        <v>24</v>
      </c>
      <c r="I95" s="100" t="s">
        <v>25</v>
      </c>
      <c r="J95" s="97" t="s">
        <v>26</v>
      </c>
      <c r="K95" s="97" t="s">
        <v>26</v>
      </c>
      <c r="L95" s="97" t="s">
        <v>26</v>
      </c>
      <c r="M95" s="95" t="s">
        <v>24</v>
      </c>
      <c r="N95" s="97" t="s">
        <v>26</v>
      </c>
      <c r="O95" s="97" t="s">
        <v>26</v>
      </c>
      <c r="P95" s="100" t="s">
        <v>351</v>
      </c>
      <c r="Q95" s="100" t="s">
        <v>25</v>
      </c>
      <c r="R95" s="97" t="s">
        <v>26</v>
      </c>
      <c r="S95" s="95" t="s">
        <v>24</v>
      </c>
      <c r="T95" s="95" t="s">
        <v>24</v>
      </c>
      <c r="U95" s="97" t="s">
        <v>26</v>
      </c>
      <c r="V95" s="97" t="s">
        <v>26</v>
      </c>
      <c r="W95" s="97" t="s">
        <v>26</v>
      </c>
      <c r="X95" s="97" t="s">
        <v>26</v>
      </c>
      <c r="Y95" s="97" t="s">
        <v>26</v>
      </c>
      <c r="Z95" s="95" t="s">
        <v>24</v>
      </c>
      <c r="AA95" s="95" t="s">
        <v>24</v>
      </c>
      <c r="AB95" s="97" t="s">
        <v>26</v>
      </c>
      <c r="AC95" s="97" t="s">
        <v>26</v>
      </c>
      <c r="AD95" s="97" t="s">
        <v>26</v>
      </c>
      <c r="AE95" s="97" t="s">
        <v>26</v>
      </c>
      <c r="AF95" s="97" t="s">
        <v>26</v>
      </c>
      <c r="AG95" s="95" t="s">
        <v>24</v>
      </c>
      <c r="AH95" s="95" t="s">
        <v>24</v>
      </c>
      <c r="AI95" s="98">
        <v>31</v>
      </c>
      <c r="AJ95" s="98">
        <f t="shared" si="6"/>
        <v>16.44</v>
      </c>
      <c r="AK95" s="98">
        <v>10</v>
      </c>
      <c r="AL95" s="98">
        <v>2</v>
      </c>
      <c r="AM95" s="98">
        <v>2.56</v>
      </c>
      <c r="AN95" s="98"/>
      <c r="AO95" s="98"/>
      <c r="AP95" s="98"/>
      <c r="AQ95" s="98"/>
      <c r="AR95" s="98"/>
      <c r="AS95" s="98"/>
      <c r="AT95" s="98">
        <f t="shared" si="7"/>
        <v>2.56</v>
      </c>
      <c r="AU95" s="99"/>
    </row>
    <row r="96" customFormat="1" ht="34" customHeight="1" spans="1:47">
      <c r="A96" s="92">
        <f t="shared" si="5"/>
        <v>93</v>
      </c>
      <c r="B96" s="101" t="s">
        <v>356</v>
      </c>
      <c r="C96" s="94" t="s">
        <v>160</v>
      </c>
      <c r="D96" s="102" t="s">
        <v>34</v>
      </c>
      <c r="E96" s="102" t="s">
        <v>34</v>
      </c>
      <c r="F96" s="102" t="s">
        <v>34</v>
      </c>
      <c r="G96" s="102" t="s">
        <v>34</v>
      </c>
      <c r="H96" s="102" t="s">
        <v>34</v>
      </c>
      <c r="I96" s="97" t="s">
        <v>26</v>
      </c>
      <c r="J96" s="97" t="s">
        <v>26</v>
      </c>
      <c r="K96" s="97" t="s">
        <v>26</v>
      </c>
      <c r="L96" s="97" t="s">
        <v>26</v>
      </c>
      <c r="M96" s="95" t="s">
        <v>24</v>
      </c>
      <c r="N96" s="97" t="s">
        <v>26</v>
      </c>
      <c r="O96" s="97" t="s">
        <v>26</v>
      </c>
      <c r="P96" s="97" t="s">
        <v>26</v>
      </c>
      <c r="Q96" s="97" t="s">
        <v>26</v>
      </c>
      <c r="R96" s="97" t="s">
        <v>26</v>
      </c>
      <c r="S96" s="95" t="s">
        <v>24</v>
      </c>
      <c r="T96" s="95" t="s">
        <v>24</v>
      </c>
      <c r="U96" s="97" t="s">
        <v>26</v>
      </c>
      <c r="V96" s="97" t="s">
        <v>26</v>
      </c>
      <c r="W96" s="97" t="s">
        <v>26</v>
      </c>
      <c r="X96" s="97" t="s">
        <v>26</v>
      </c>
      <c r="Y96" s="97" t="s">
        <v>26</v>
      </c>
      <c r="Z96" s="95" t="s">
        <v>24</v>
      </c>
      <c r="AA96" s="95" t="s">
        <v>24</v>
      </c>
      <c r="AB96" s="97" t="s">
        <v>26</v>
      </c>
      <c r="AC96" s="97" t="s">
        <v>26</v>
      </c>
      <c r="AD96" s="97" t="s">
        <v>26</v>
      </c>
      <c r="AE96" s="97" t="s">
        <v>26</v>
      </c>
      <c r="AF96" s="97" t="s">
        <v>26</v>
      </c>
      <c r="AG96" s="95" t="s">
        <v>24</v>
      </c>
      <c r="AH96" s="95" t="s">
        <v>24</v>
      </c>
      <c r="AI96" s="98">
        <v>31</v>
      </c>
      <c r="AJ96" s="98">
        <f t="shared" si="6"/>
        <v>19</v>
      </c>
      <c r="AK96" s="98">
        <v>10</v>
      </c>
      <c r="AL96" s="98">
        <v>0</v>
      </c>
      <c r="AM96" s="98">
        <v>2</v>
      </c>
      <c r="AN96" s="98"/>
      <c r="AO96" s="98"/>
      <c r="AP96" s="98"/>
      <c r="AQ96" s="98"/>
      <c r="AR96" s="98"/>
      <c r="AS96" s="98"/>
      <c r="AT96" s="98">
        <f t="shared" si="7"/>
        <v>2</v>
      </c>
      <c r="AU96" s="99" t="s">
        <v>326</v>
      </c>
    </row>
    <row r="97" customFormat="1" ht="34" customHeight="1" spans="1:47">
      <c r="A97" s="92">
        <f t="shared" si="5"/>
        <v>94</v>
      </c>
      <c r="B97" s="101" t="s">
        <v>357</v>
      </c>
      <c r="C97" s="94" t="s">
        <v>160</v>
      </c>
      <c r="D97" s="102" t="s">
        <v>34</v>
      </c>
      <c r="E97" s="102" t="s">
        <v>34</v>
      </c>
      <c r="F97" s="102" t="s">
        <v>34</v>
      </c>
      <c r="G97" s="102" t="s">
        <v>34</v>
      </c>
      <c r="H97" s="102" t="s">
        <v>34</v>
      </c>
      <c r="I97" s="102" t="s">
        <v>34</v>
      </c>
      <c r="J97" s="102" t="s">
        <v>34</v>
      </c>
      <c r="K97" s="102" t="s">
        <v>34</v>
      </c>
      <c r="L97" s="102" t="s">
        <v>34</v>
      </c>
      <c r="M97" s="102" t="s">
        <v>34</v>
      </c>
      <c r="N97" s="102" t="s">
        <v>34</v>
      </c>
      <c r="O97" s="102" t="s">
        <v>34</v>
      </c>
      <c r="P97" s="102" t="s">
        <v>34</v>
      </c>
      <c r="Q97" s="102" t="s">
        <v>34</v>
      </c>
      <c r="R97" s="102" t="s">
        <v>34</v>
      </c>
      <c r="S97" s="102" t="s">
        <v>34</v>
      </c>
      <c r="T97" s="102" t="s">
        <v>34</v>
      </c>
      <c r="U97" s="97" t="s">
        <v>26</v>
      </c>
      <c r="V97" s="97" t="s">
        <v>26</v>
      </c>
      <c r="W97" s="97" t="s">
        <v>26</v>
      </c>
      <c r="X97" s="97" t="s">
        <v>26</v>
      </c>
      <c r="Y97" s="97" t="s">
        <v>26</v>
      </c>
      <c r="Z97" s="95" t="s">
        <v>24</v>
      </c>
      <c r="AA97" s="95" t="s">
        <v>24</v>
      </c>
      <c r="AB97" s="97" t="s">
        <v>26</v>
      </c>
      <c r="AC97" s="97" t="s">
        <v>26</v>
      </c>
      <c r="AD97" s="97" t="s">
        <v>26</v>
      </c>
      <c r="AE97" s="97" t="s">
        <v>26</v>
      </c>
      <c r="AF97" s="97" t="s">
        <v>26</v>
      </c>
      <c r="AG97" s="95" t="s">
        <v>24</v>
      </c>
      <c r="AH97" s="95" t="s">
        <v>24</v>
      </c>
      <c r="AI97" s="98">
        <v>31</v>
      </c>
      <c r="AJ97" s="98">
        <f t="shared" si="6"/>
        <v>10</v>
      </c>
      <c r="AK97" s="98">
        <v>10</v>
      </c>
      <c r="AL97" s="98">
        <v>0</v>
      </c>
      <c r="AM97" s="98">
        <v>11</v>
      </c>
      <c r="AN97" s="98"/>
      <c r="AO97" s="98"/>
      <c r="AP97" s="98"/>
      <c r="AQ97" s="98"/>
      <c r="AR97" s="98"/>
      <c r="AS97" s="98"/>
      <c r="AT97" s="98">
        <f t="shared" si="7"/>
        <v>11</v>
      </c>
      <c r="AU97" s="99" t="s">
        <v>358</v>
      </c>
    </row>
    <row r="98" customFormat="1" ht="34" customHeight="1" spans="1:47">
      <c r="A98" s="92">
        <f t="shared" si="5"/>
        <v>95</v>
      </c>
      <c r="B98" s="93" t="s">
        <v>167</v>
      </c>
      <c r="C98" s="94" t="s">
        <v>165</v>
      </c>
      <c r="D98" s="95" t="s">
        <v>23</v>
      </c>
      <c r="E98" s="95" t="s">
        <v>23</v>
      </c>
      <c r="F98" s="95" t="s">
        <v>24</v>
      </c>
      <c r="G98" s="95" t="s">
        <v>24</v>
      </c>
      <c r="H98" s="95" t="s">
        <v>24</v>
      </c>
      <c r="I98" s="97" t="s">
        <v>26</v>
      </c>
      <c r="J98" s="97" t="s">
        <v>26</v>
      </c>
      <c r="K98" s="97" t="s">
        <v>26</v>
      </c>
      <c r="L98" s="97" t="s">
        <v>26</v>
      </c>
      <c r="M98" s="95" t="s">
        <v>24</v>
      </c>
      <c r="N98" s="97" t="s">
        <v>26</v>
      </c>
      <c r="O98" s="97" t="s">
        <v>26</v>
      </c>
      <c r="P98" s="97" t="s">
        <v>26</v>
      </c>
      <c r="Q98" s="97" t="s">
        <v>26</v>
      </c>
      <c r="R98" s="97" t="s">
        <v>26</v>
      </c>
      <c r="S98" s="95" t="s">
        <v>24</v>
      </c>
      <c r="T98" s="95" t="s">
        <v>24</v>
      </c>
      <c r="U98" s="97" t="s">
        <v>26</v>
      </c>
      <c r="V98" s="97" t="s">
        <v>26</v>
      </c>
      <c r="W98" s="97" t="s">
        <v>26</v>
      </c>
      <c r="X98" s="97" t="s">
        <v>26</v>
      </c>
      <c r="Y98" s="97" t="s">
        <v>26</v>
      </c>
      <c r="Z98" s="95" t="s">
        <v>24</v>
      </c>
      <c r="AA98" s="95" t="s">
        <v>24</v>
      </c>
      <c r="AB98" s="97" t="s">
        <v>26</v>
      </c>
      <c r="AC98" s="97" t="s">
        <v>26</v>
      </c>
      <c r="AD98" s="97" t="s">
        <v>26</v>
      </c>
      <c r="AE98" s="97" t="s">
        <v>26</v>
      </c>
      <c r="AF98" s="97" t="s">
        <v>26</v>
      </c>
      <c r="AG98" s="95" t="s">
        <v>24</v>
      </c>
      <c r="AH98" s="95" t="s">
        <v>24</v>
      </c>
      <c r="AI98" s="98">
        <v>31</v>
      </c>
      <c r="AJ98" s="98">
        <f t="shared" si="6"/>
        <v>19</v>
      </c>
      <c r="AK98" s="98">
        <v>10</v>
      </c>
      <c r="AL98" s="98">
        <v>2</v>
      </c>
      <c r="AM98" s="98"/>
      <c r="AN98" s="98"/>
      <c r="AO98" s="98"/>
      <c r="AP98" s="98"/>
      <c r="AQ98" s="98"/>
      <c r="AR98" s="98"/>
      <c r="AS98" s="98"/>
      <c r="AT98" s="98">
        <f t="shared" si="7"/>
        <v>0</v>
      </c>
      <c r="AU98" s="99"/>
    </row>
    <row r="99" customFormat="1" ht="34" customHeight="1" spans="1:47">
      <c r="A99" s="92">
        <f t="shared" si="5"/>
        <v>96</v>
      </c>
      <c r="B99" s="93" t="s">
        <v>168</v>
      </c>
      <c r="C99" s="94" t="s">
        <v>165</v>
      </c>
      <c r="D99" s="95" t="s">
        <v>23</v>
      </c>
      <c r="E99" s="95" t="s">
        <v>23</v>
      </c>
      <c r="F99" s="95" t="s">
        <v>24</v>
      </c>
      <c r="G99" s="95" t="s">
        <v>24</v>
      </c>
      <c r="H99" s="95" t="s">
        <v>24</v>
      </c>
      <c r="I99" s="97" t="s">
        <v>26</v>
      </c>
      <c r="J99" s="97" t="s">
        <v>26</v>
      </c>
      <c r="K99" s="97" t="s">
        <v>26</v>
      </c>
      <c r="L99" s="97" t="s">
        <v>26</v>
      </c>
      <c r="M99" s="95" t="s">
        <v>24</v>
      </c>
      <c r="N99" s="97" t="s">
        <v>26</v>
      </c>
      <c r="O99" s="97" t="s">
        <v>26</v>
      </c>
      <c r="P99" s="97" t="s">
        <v>26</v>
      </c>
      <c r="Q99" s="97" t="s">
        <v>26</v>
      </c>
      <c r="R99" s="97" t="s">
        <v>26</v>
      </c>
      <c r="S99" s="95" t="s">
        <v>24</v>
      </c>
      <c r="T99" s="95" t="s">
        <v>24</v>
      </c>
      <c r="U99" s="97" t="s">
        <v>26</v>
      </c>
      <c r="V99" s="97" t="s">
        <v>26</v>
      </c>
      <c r="W99" s="97" t="s">
        <v>26</v>
      </c>
      <c r="X99" s="97" t="s">
        <v>26</v>
      </c>
      <c r="Y99" s="97" t="s">
        <v>26</v>
      </c>
      <c r="Z99" s="95" t="s">
        <v>24</v>
      </c>
      <c r="AA99" s="95" t="s">
        <v>24</v>
      </c>
      <c r="AB99" s="97" t="s">
        <v>26</v>
      </c>
      <c r="AC99" s="97" t="s">
        <v>26</v>
      </c>
      <c r="AD99" s="97" t="s">
        <v>26</v>
      </c>
      <c r="AE99" s="97" t="s">
        <v>26</v>
      </c>
      <c r="AF99" s="97" t="s">
        <v>26</v>
      </c>
      <c r="AG99" s="95" t="s">
        <v>24</v>
      </c>
      <c r="AH99" s="95" t="s">
        <v>24</v>
      </c>
      <c r="AI99" s="98">
        <v>31</v>
      </c>
      <c r="AJ99" s="98">
        <f t="shared" si="6"/>
        <v>19</v>
      </c>
      <c r="AK99" s="98">
        <v>10</v>
      </c>
      <c r="AL99" s="98">
        <v>2</v>
      </c>
      <c r="AM99" s="98"/>
      <c r="AN99" s="98"/>
      <c r="AO99" s="98"/>
      <c r="AP99" s="98"/>
      <c r="AQ99" s="98"/>
      <c r="AR99" s="98"/>
      <c r="AS99" s="98"/>
      <c r="AT99" s="98">
        <f t="shared" si="7"/>
        <v>0</v>
      </c>
      <c r="AU99" s="99"/>
    </row>
    <row r="100" customFormat="1" ht="34" customHeight="1" spans="1:47">
      <c r="A100" s="92">
        <f t="shared" si="5"/>
        <v>97</v>
      </c>
      <c r="B100" s="93" t="s">
        <v>169</v>
      </c>
      <c r="C100" s="94" t="s">
        <v>165</v>
      </c>
      <c r="D100" s="95" t="s">
        <v>23</v>
      </c>
      <c r="E100" s="95" t="s">
        <v>23</v>
      </c>
      <c r="F100" s="95" t="s">
        <v>24</v>
      </c>
      <c r="G100" s="95" t="s">
        <v>24</v>
      </c>
      <c r="H100" s="95" t="s">
        <v>24</v>
      </c>
      <c r="I100" s="100" t="s">
        <v>321</v>
      </c>
      <c r="J100" s="97" t="s">
        <v>26</v>
      </c>
      <c r="K100" s="97" t="s">
        <v>26</v>
      </c>
      <c r="L100" s="97" t="s">
        <v>26</v>
      </c>
      <c r="M100" s="95" t="s">
        <v>24</v>
      </c>
      <c r="N100" s="100" t="s">
        <v>25</v>
      </c>
      <c r="O100" s="100" t="s">
        <v>25</v>
      </c>
      <c r="P100" s="97" t="s">
        <v>26</v>
      </c>
      <c r="Q100" s="97" t="s">
        <v>26</v>
      </c>
      <c r="R100" s="97" t="s">
        <v>26</v>
      </c>
      <c r="S100" s="95" t="s">
        <v>24</v>
      </c>
      <c r="T100" s="95" t="s">
        <v>24</v>
      </c>
      <c r="U100" s="97" t="s">
        <v>26</v>
      </c>
      <c r="V100" s="97" t="s">
        <v>26</v>
      </c>
      <c r="W100" s="100" t="s">
        <v>52</v>
      </c>
      <c r="X100" s="97" t="s">
        <v>26</v>
      </c>
      <c r="Y100" s="97" t="s">
        <v>26</v>
      </c>
      <c r="Z100" s="95" t="s">
        <v>24</v>
      </c>
      <c r="AA100" s="95" t="s">
        <v>24</v>
      </c>
      <c r="AB100" s="97" t="s">
        <v>26</v>
      </c>
      <c r="AC100" s="97" t="s">
        <v>26</v>
      </c>
      <c r="AD100" s="97" t="s">
        <v>26</v>
      </c>
      <c r="AE100" s="97" t="s">
        <v>26</v>
      </c>
      <c r="AF100" s="97" t="s">
        <v>26</v>
      </c>
      <c r="AG100" s="95" t="s">
        <v>24</v>
      </c>
      <c r="AH100" s="95" t="s">
        <v>24</v>
      </c>
      <c r="AI100" s="98">
        <v>31</v>
      </c>
      <c r="AJ100" s="98">
        <f t="shared" si="6"/>
        <v>16.5</v>
      </c>
      <c r="AK100" s="98">
        <v>10</v>
      </c>
      <c r="AL100" s="98">
        <v>2</v>
      </c>
      <c r="AM100" s="98">
        <v>2.5</v>
      </c>
      <c r="AN100" s="98"/>
      <c r="AO100" s="98"/>
      <c r="AP100" s="98"/>
      <c r="AQ100" s="98"/>
      <c r="AR100" s="98"/>
      <c r="AS100" s="98"/>
      <c r="AT100" s="98">
        <f t="shared" si="7"/>
        <v>2.5</v>
      </c>
      <c r="AU100" s="99"/>
    </row>
    <row r="101" customFormat="1" ht="34" customHeight="1" spans="1:47">
      <c r="A101" s="92">
        <f t="shared" si="5"/>
        <v>98</v>
      </c>
      <c r="B101" s="106" t="s">
        <v>171</v>
      </c>
      <c r="C101" s="94" t="s">
        <v>165</v>
      </c>
      <c r="D101" s="95" t="s">
        <v>23</v>
      </c>
      <c r="E101" s="95" t="s">
        <v>23</v>
      </c>
      <c r="F101" s="95" t="s">
        <v>24</v>
      </c>
      <c r="G101" s="95" t="s">
        <v>24</v>
      </c>
      <c r="H101" s="95" t="s">
        <v>24</v>
      </c>
      <c r="I101" s="97" t="s">
        <v>26</v>
      </c>
      <c r="J101" s="97" t="s">
        <v>26</v>
      </c>
      <c r="K101" s="97" t="s">
        <v>26</v>
      </c>
      <c r="L101" s="98" t="s">
        <v>34</v>
      </c>
      <c r="M101" s="98" t="s">
        <v>34</v>
      </c>
      <c r="N101" s="98" t="s">
        <v>34</v>
      </c>
      <c r="O101" s="98" t="s">
        <v>34</v>
      </c>
      <c r="P101" s="98" t="s">
        <v>34</v>
      </c>
      <c r="Q101" s="98" t="s">
        <v>34</v>
      </c>
      <c r="R101" s="98" t="s">
        <v>34</v>
      </c>
      <c r="S101" s="98" t="s">
        <v>34</v>
      </c>
      <c r="T101" s="98" t="s">
        <v>34</v>
      </c>
      <c r="U101" s="98" t="s">
        <v>34</v>
      </c>
      <c r="V101" s="98" t="s">
        <v>34</v>
      </c>
      <c r="W101" s="98" t="s">
        <v>34</v>
      </c>
      <c r="X101" s="98" t="s">
        <v>34</v>
      </c>
      <c r="Y101" s="98" t="s">
        <v>34</v>
      </c>
      <c r="Z101" s="98" t="s">
        <v>34</v>
      </c>
      <c r="AA101" s="98" t="s">
        <v>34</v>
      </c>
      <c r="AB101" s="98" t="s">
        <v>34</v>
      </c>
      <c r="AC101" s="98" t="s">
        <v>34</v>
      </c>
      <c r="AD101" s="98" t="s">
        <v>34</v>
      </c>
      <c r="AE101" s="98" t="s">
        <v>34</v>
      </c>
      <c r="AF101" s="98" t="s">
        <v>34</v>
      </c>
      <c r="AG101" s="98" t="s">
        <v>34</v>
      </c>
      <c r="AH101" s="98" t="s">
        <v>34</v>
      </c>
      <c r="AI101" s="98">
        <v>31</v>
      </c>
      <c r="AJ101" s="98">
        <f t="shared" si="6"/>
        <v>3</v>
      </c>
      <c r="AK101" s="98">
        <v>10</v>
      </c>
      <c r="AL101" s="98">
        <v>2</v>
      </c>
      <c r="AM101" s="98">
        <v>16</v>
      </c>
      <c r="AN101" s="98"/>
      <c r="AO101" s="98"/>
      <c r="AP101" s="98"/>
      <c r="AQ101" s="98"/>
      <c r="AR101" s="98"/>
      <c r="AS101" s="98"/>
      <c r="AT101" s="98">
        <f t="shared" si="7"/>
        <v>16</v>
      </c>
      <c r="AU101" s="99" t="s">
        <v>359</v>
      </c>
    </row>
    <row r="102" customFormat="1" ht="34" customHeight="1" spans="1:47">
      <c r="A102" s="92">
        <f t="shared" si="5"/>
        <v>99</v>
      </c>
      <c r="B102" s="106" t="s">
        <v>360</v>
      </c>
      <c r="C102" s="94" t="s">
        <v>165</v>
      </c>
      <c r="D102" s="95" t="s">
        <v>23</v>
      </c>
      <c r="E102" s="95" t="s">
        <v>23</v>
      </c>
      <c r="F102" s="95" t="s">
        <v>24</v>
      </c>
      <c r="G102" s="95" t="s">
        <v>24</v>
      </c>
      <c r="H102" s="95" t="s">
        <v>24</v>
      </c>
      <c r="I102" s="97" t="s">
        <v>26</v>
      </c>
      <c r="J102" s="97" t="s">
        <v>26</v>
      </c>
      <c r="K102" s="97" t="s">
        <v>26</v>
      </c>
      <c r="L102" s="97" t="s">
        <v>26</v>
      </c>
      <c r="M102" s="95" t="s">
        <v>24</v>
      </c>
      <c r="N102" s="97" t="s">
        <v>26</v>
      </c>
      <c r="O102" s="97" t="s">
        <v>26</v>
      </c>
      <c r="P102" s="97" t="s">
        <v>26</v>
      </c>
      <c r="Q102" s="97" t="s">
        <v>26</v>
      </c>
      <c r="R102" s="97" t="s">
        <v>26</v>
      </c>
      <c r="S102" s="95" t="s">
        <v>24</v>
      </c>
      <c r="T102" s="95" t="s">
        <v>24</v>
      </c>
      <c r="U102" s="97" t="s">
        <v>26</v>
      </c>
      <c r="V102" s="97" t="s">
        <v>26</v>
      </c>
      <c r="W102" s="97" t="s">
        <v>26</v>
      </c>
      <c r="X102" s="97" t="s">
        <v>26</v>
      </c>
      <c r="Y102" s="97" t="s">
        <v>26</v>
      </c>
      <c r="Z102" s="95" t="s">
        <v>24</v>
      </c>
      <c r="AA102" s="95" t="s">
        <v>24</v>
      </c>
      <c r="AB102" s="97" t="s">
        <v>26</v>
      </c>
      <c r="AC102" s="97" t="s">
        <v>26</v>
      </c>
      <c r="AD102" s="97" t="s">
        <v>26</v>
      </c>
      <c r="AE102" s="96" t="s">
        <v>88</v>
      </c>
      <c r="AF102" s="97" t="s">
        <v>26</v>
      </c>
      <c r="AG102" s="98" t="s">
        <v>34</v>
      </c>
      <c r="AH102" s="98" t="s">
        <v>34</v>
      </c>
      <c r="AI102" s="98">
        <v>31</v>
      </c>
      <c r="AJ102" s="98">
        <f t="shared" si="6"/>
        <v>18</v>
      </c>
      <c r="AK102" s="98">
        <v>10</v>
      </c>
      <c r="AL102" s="98">
        <v>2</v>
      </c>
      <c r="AM102" s="98">
        <v>1</v>
      </c>
      <c r="AN102" s="98"/>
      <c r="AO102" s="98">
        <v>1</v>
      </c>
      <c r="AP102" s="98"/>
      <c r="AQ102" s="98"/>
      <c r="AR102" s="98"/>
      <c r="AS102" s="98"/>
      <c r="AT102" s="98">
        <f t="shared" si="7"/>
        <v>0</v>
      </c>
      <c r="AU102" s="99" t="s">
        <v>361</v>
      </c>
    </row>
    <row r="103" customFormat="1" ht="34" customHeight="1" spans="1:47">
      <c r="A103" s="92">
        <f t="shared" si="5"/>
        <v>100</v>
      </c>
      <c r="B103" s="93" t="s">
        <v>362</v>
      </c>
      <c r="C103" s="94" t="s">
        <v>165</v>
      </c>
      <c r="D103" s="95" t="s">
        <v>23</v>
      </c>
      <c r="E103" s="95" t="s">
        <v>23</v>
      </c>
      <c r="F103" s="95" t="s">
        <v>24</v>
      </c>
      <c r="G103" s="95" t="s">
        <v>24</v>
      </c>
      <c r="H103" s="95" t="s">
        <v>24</v>
      </c>
      <c r="I103" s="97" t="s">
        <v>26</v>
      </c>
      <c r="J103" s="97" t="s">
        <v>26</v>
      </c>
      <c r="K103" s="97" t="s">
        <v>26</v>
      </c>
      <c r="L103" s="97" t="s">
        <v>26</v>
      </c>
      <c r="M103" s="95" t="s">
        <v>24</v>
      </c>
      <c r="N103" s="97" t="s">
        <v>26</v>
      </c>
      <c r="O103" s="97" t="s">
        <v>26</v>
      </c>
      <c r="P103" s="100" t="s">
        <v>25</v>
      </c>
      <c r="Q103" s="100" t="s">
        <v>25</v>
      </c>
      <c r="R103" s="100" t="s">
        <v>25</v>
      </c>
      <c r="S103" s="95" t="s">
        <v>24</v>
      </c>
      <c r="T103" s="95" t="s">
        <v>24</v>
      </c>
      <c r="U103" s="100" t="s">
        <v>25</v>
      </c>
      <c r="V103" s="97" t="s">
        <v>26</v>
      </c>
      <c r="W103" s="97" t="s">
        <v>26</v>
      </c>
      <c r="X103" s="97" t="s">
        <v>26</v>
      </c>
      <c r="Y103" s="97" t="s">
        <v>26</v>
      </c>
      <c r="Z103" s="95" t="s">
        <v>24</v>
      </c>
      <c r="AA103" s="95" t="s">
        <v>24</v>
      </c>
      <c r="AB103" s="97" t="s">
        <v>26</v>
      </c>
      <c r="AC103" s="97" t="s">
        <v>26</v>
      </c>
      <c r="AD103" s="97" t="s">
        <v>26</v>
      </c>
      <c r="AE103" s="97" t="s">
        <v>26</v>
      </c>
      <c r="AF103" s="97" t="s">
        <v>26</v>
      </c>
      <c r="AG103" s="95" t="s">
        <v>24</v>
      </c>
      <c r="AH103" s="95" t="s">
        <v>24</v>
      </c>
      <c r="AI103" s="98">
        <v>31</v>
      </c>
      <c r="AJ103" s="98">
        <f t="shared" si="6"/>
        <v>15</v>
      </c>
      <c r="AK103" s="98">
        <v>10</v>
      </c>
      <c r="AL103" s="98">
        <v>2</v>
      </c>
      <c r="AM103" s="98">
        <v>4</v>
      </c>
      <c r="AN103" s="98"/>
      <c r="AO103" s="98"/>
      <c r="AP103" s="98"/>
      <c r="AQ103" s="98"/>
      <c r="AR103" s="98"/>
      <c r="AS103" s="98"/>
      <c r="AT103" s="98">
        <f t="shared" si="7"/>
        <v>4</v>
      </c>
      <c r="AU103" s="99"/>
    </row>
    <row r="104" customFormat="1" ht="34" customHeight="1" spans="1:47">
      <c r="A104" s="92">
        <f t="shared" si="5"/>
        <v>101</v>
      </c>
      <c r="B104" s="101" t="s">
        <v>363</v>
      </c>
      <c r="C104" s="94" t="s">
        <v>165</v>
      </c>
      <c r="D104" s="102" t="s">
        <v>34</v>
      </c>
      <c r="E104" s="102" t="s">
        <v>34</v>
      </c>
      <c r="F104" s="102" t="s">
        <v>34</v>
      </c>
      <c r="G104" s="102" t="s">
        <v>34</v>
      </c>
      <c r="H104" s="102" t="s">
        <v>34</v>
      </c>
      <c r="I104" s="97" t="s">
        <v>26</v>
      </c>
      <c r="J104" s="97" t="s">
        <v>26</v>
      </c>
      <c r="K104" s="97" t="s">
        <v>26</v>
      </c>
      <c r="L104" s="97" t="s">
        <v>26</v>
      </c>
      <c r="M104" s="95" t="s">
        <v>24</v>
      </c>
      <c r="N104" s="97" t="s">
        <v>26</v>
      </c>
      <c r="O104" s="97" t="s">
        <v>26</v>
      </c>
      <c r="P104" s="97" t="s">
        <v>26</v>
      </c>
      <c r="Q104" s="97" t="s">
        <v>26</v>
      </c>
      <c r="R104" s="97" t="s">
        <v>26</v>
      </c>
      <c r="S104" s="95" t="s">
        <v>24</v>
      </c>
      <c r="T104" s="95" t="s">
        <v>24</v>
      </c>
      <c r="U104" s="97" t="s">
        <v>26</v>
      </c>
      <c r="V104" s="97" t="s">
        <v>26</v>
      </c>
      <c r="W104" s="97" t="s">
        <v>26</v>
      </c>
      <c r="X104" s="97" t="s">
        <v>26</v>
      </c>
      <c r="Y104" s="100" t="s">
        <v>25</v>
      </c>
      <c r="Z104" s="95" t="s">
        <v>24</v>
      </c>
      <c r="AA104" s="95" t="s">
        <v>24</v>
      </c>
      <c r="AB104" s="97" t="s">
        <v>26</v>
      </c>
      <c r="AC104" s="97" t="s">
        <v>26</v>
      </c>
      <c r="AD104" s="97" t="s">
        <v>26</v>
      </c>
      <c r="AE104" s="97" t="s">
        <v>26</v>
      </c>
      <c r="AF104" s="97" t="s">
        <v>26</v>
      </c>
      <c r="AG104" s="95" t="s">
        <v>24</v>
      </c>
      <c r="AH104" s="95" t="s">
        <v>24</v>
      </c>
      <c r="AI104" s="98">
        <v>31</v>
      </c>
      <c r="AJ104" s="98">
        <f t="shared" si="6"/>
        <v>18</v>
      </c>
      <c r="AK104" s="98">
        <v>10</v>
      </c>
      <c r="AL104" s="98">
        <v>0</v>
      </c>
      <c r="AM104" s="98">
        <v>3</v>
      </c>
      <c r="AN104" s="98"/>
      <c r="AO104" s="98"/>
      <c r="AP104" s="98"/>
      <c r="AQ104" s="98"/>
      <c r="AR104" s="98"/>
      <c r="AS104" s="98"/>
      <c r="AT104" s="98">
        <f t="shared" si="7"/>
        <v>3</v>
      </c>
      <c r="AU104" s="99" t="s">
        <v>326</v>
      </c>
    </row>
    <row r="105" ht="34" customHeight="1" spans="1:47">
      <c r="A105" s="92">
        <f t="shared" si="5"/>
        <v>102</v>
      </c>
      <c r="B105" s="93" t="s">
        <v>172</v>
      </c>
      <c r="C105" s="94" t="s">
        <v>173</v>
      </c>
      <c r="D105" s="95" t="s">
        <v>23</v>
      </c>
      <c r="E105" s="95" t="s">
        <v>23</v>
      </c>
      <c r="F105" s="95" t="s">
        <v>24</v>
      </c>
      <c r="G105" s="95" t="s">
        <v>24</v>
      </c>
      <c r="H105" s="95" t="s">
        <v>24</v>
      </c>
      <c r="I105" s="97" t="s">
        <v>26</v>
      </c>
      <c r="J105" s="96" t="s">
        <v>119</v>
      </c>
      <c r="K105" s="96" t="s">
        <v>119</v>
      </c>
      <c r="L105" s="96" t="s">
        <v>119</v>
      </c>
      <c r="M105" s="95" t="s">
        <v>24</v>
      </c>
      <c r="N105" s="97" t="s">
        <v>26</v>
      </c>
      <c r="O105" s="97" t="s">
        <v>26</v>
      </c>
      <c r="P105" s="97" t="s">
        <v>26</v>
      </c>
      <c r="Q105" s="97" t="s">
        <v>26</v>
      </c>
      <c r="R105" s="97" t="s">
        <v>26</v>
      </c>
      <c r="S105" s="95" t="s">
        <v>24</v>
      </c>
      <c r="T105" s="95" t="s">
        <v>24</v>
      </c>
      <c r="U105" s="97" t="s">
        <v>26</v>
      </c>
      <c r="V105" s="96" t="s">
        <v>29</v>
      </c>
      <c r="W105" s="97" t="s">
        <v>26</v>
      </c>
      <c r="X105" s="96" t="s">
        <v>364</v>
      </c>
      <c r="Y105" s="97" t="s">
        <v>26</v>
      </c>
      <c r="Z105" s="95" t="s">
        <v>24</v>
      </c>
      <c r="AA105" s="95" t="s">
        <v>24</v>
      </c>
      <c r="AB105" s="97" t="s">
        <v>26</v>
      </c>
      <c r="AC105" s="97" t="s">
        <v>26</v>
      </c>
      <c r="AD105" s="97" t="s">
        <v>26</v>
      </c>
      <c r="AE105" s="97" t="s">
        <v>26</v>
      </c>
      <c r="AF105" s="97" t="s">
        <v>26</v>
      </c>
      <c r="AG105" s="95" t="s">
        <v>24</v>
      </c>
      <c r="AH105" s="95" t="s">
        <v>24</v>
      </c>
      <c r="AI105" s="98">
        <v>31</v>
      </c>
      <c r="AJ105" s="98">
        <f t="shared" si="6"/>
        <v>18.33</v>
      </c>
      <c r="AK105" s="98">
        <v>10</v>
      </c>
      <c r="AL105" s="98">
        <v>2</v>
      </c>
      <c r="AM105" s="98">
        <v>0.67</v>
      </c>
      <c r="AN105" s="98"/>
      <c r="AO105" s="98">
        <v>0.67</v>
      </c>
      <c r="AP105" s="98"/>
      <c r="AQ105" s="98"/>
      <c r="AR105" s="98"/>
      <c r="AS105" s="98"/>
      <c r="AT105" s="98">
        <f t="shared" si="7"/>
        <v>0</v>
      </c>
      <c r="AU105" s="99" t="s">
        <v>365</v>
      </c>
    </row>
    <row r="106" customFormat="1" ht="34" customHeight="1" spans="1:47">
      <c r="A106" s="92">
        <f t="shared" si="5"/>
        <v>103</v>
      </c>
      <c r="B106" s="93" t="s">
        <v>174</v>
      </c>
      <c r="C106" s="94" t="s">
        <v>173</v>
      </c>
      <c r="D106" s="95" t="s">
        <v>23</v>
      </c>
      <c r="E106" s="95" t="s">
        <v>23</v>
      </c>
      <c r="F106" s="95" t="s">
        <v>24</v>
      </c>
      <c r="G106" s="95" t="s">
        <v>24</v>
      </c>
      <c r="H106" s="95" t="s">
        <v>24</v>
      </c>
      <c r="I106" s="97" t="s">
        <v>26</v>
      </c>
      <c r="J106" s="97" t="s">
        <v>26</v>
      </c>
      <c r="K106" s="96" t="s">
        <v>70</v>
      </c>
      <c r="L106" s="97" t="s">
        <v>26</v>
      </c>
      <c r="M106" s="95" t="s">
        <v>24</v>
      </c>
      <c r="N106" s="97" t="s">
        <v>26</v>
      </c>
      <c r="O106" s="97" t="s">
        <v>26</v>
      </c>
      <c r="P106" s="96" t="s">
        <v>70</v>
      </c>
      <c r="Q106" s="97" t="s">
        <v>26</v>
      </c>
      <c r="R106" s="97" t="s">
        <v>26</v>
      </c>
      <c r="S106" s="95" t="s">
        <v>24</v>
      </c>
      <c r="T106" s="95" t="s">
        <v>24</v>
      </c>
      <c r="U106" s="97" t="s">
        <v>26</v>
      </c>
      <c r="V106" s="97" t="s">
        <v>26</v>
      </c>
      <c r="W106" s="96" t="s">
        <v>339</v>
      </c>
      <c r="X106" s="97" t="s">
        <v>26</v>
      </c>
      <c r="Y106" s="96" t="s">
        <v>134</v>
      </c>
      <c r="Z106" s="95" t="s">
        <v>24</v>
      </c>
      <c r="AA106" s="95" t="s">
        <v>24</v>
      </c>
      <c r="AB106" s="97" t="s">
        <v>26</v>
      </c>
      <c r="AC106" s="97" t="s">
        <v>26</v>
      </c>
      <c r="AD106" s="97" t="s">
        <v>26</v>
      </c>
      <c r="AE106" s="97" t="s">
        <v>26</v>
      </c>
      <c r="AF106" s="97" t="s">
        <v>26</v>
      </c>
      <c r="AG106" s="95" t="s">
        <v>24</v>
      </c>
      <c r="AH106" s="95" t="s">
        <v>24</v>
      </c>
      <c r="AI106" s="98">
        <v>31</v>
      </c>
      <c r="AJ106" s="98">
        <f t="shared" si="6"/>
        <v>18.31</v>
      </c>
      <c r="AK106" s="98">
        <v>10</v>
      </c>
      <c r="AL106" s="98">
        <v>2</v>
      </c>
      <c r="AM106" s="98">
        <v>0.69</v>
      </c>
      <c r="AN106" s="98"/>
      <c r="AO106" s="98"/>
      <c r="AP106" s="98"/>
      <c r="AQ106" s="98"/>
      <c r="AR106" s="98"/>
      <c r="AS106" s="98"/>
      <c r="AT106" s="98">
        <f t="shared" si="7"/>
        <v>0.69</v>
      </c>
      <c r="AU106" s="99"/>
    </row>
    <row r="107" customFormat="1" ht="34" customHeight="1" spans="1:47">
      <c r="A107" s="92">
        <f t="shared" si="5"/>
        <v>104</v>
      </c>
      <c r="B107" s="93" t="s">
        <v>175</v>
      </c>
      <c r="C107" s="94" t="s">
        <v>173</v>
      </c>
      <c r="D107" s="95" t="s">
        <v>23</v>
      </c>
      <c r="E107" s="95" t="s">
        <v>23</v>
      </c>
      <c r="F107" s="95" t="s">
        <v>24</v>
      </c>
      <c r="G107" s="95" t="s">
        <v>24</v>
      </c>
      <c r="H107" s="95" t="s">
        <v>24</v>
      </c>
      <c r="I107" s="97" t="s">
        <v>26</v>
      </c>
      <c r="J107" s="97" t="s">
        <v>26</v>
      </c>
      <c r="K107" s="97" t="s">
        <v>26</v>
      </c>
      <c r="L107" s="97" t="s">
        <v>26</v>
      </c>
      <c r="M107" s="95" t="s">
        <v>24</v>
      </c>
      <c r="N107" s="97" t="s">
        <v>26</v>
      </c>
      <c r="O107" s="97" t="s">
        <v>26</v>
      </c>
      <c r="P107" s="97" t="s">
        <v>26</v>
      </c>
      <c r="Q107" s="97" t="s">
        <v>26</v>
      </c>
      <c r="R107" s="97" t="s">
        <v>26</v>
      </c>
      <c r="S107" s="95" t="s">
        <v>24</v>
      </c>
      <c r="T107" s="95" t="s">
        <v>24</v>
      </c>
      <c r="U107" s="97" t="s">
        <v>26</v>
      </c>
      <c r="V107" s="97" t="s">
        <v>26</v>
      </c>
      <c r="W107" s="97" t="s">
        <v>26</v>
      </c>
      <c r="X107" s="97" t="s">
        <v>26</v>
      </c>
      <c r="Y107" s="97" t="s">
        <v>26</v>
      </c>
      <c r="Z107" s="95" t="s">
        <v>24</v>
      </c>
      <c r="AA107" s="95" t="s">
        <v>24</v>
      </c>
      <c r="AB107" s="97" t="s">
        <v>26</v>
      </c>
      <c r="AC107" s="97" t="s">
        <v>26</v>
      </c>
      <c r="AD107" s="97" t="s">
        <v>26</v>
      </c>
      <c r="AE107" s="97" t="s">
        <v>26</v>
      </c>
      <c r="AF107" s="97" t="s">
        <v>26</v>
      </c>
      <c r="AG107" s="95" t="s">
        <v>24</v>
      </c>
      <c r="AH107" s="95" t="s">
        <v>24</v>
      </c>
      <c r="AI107" s="98">
        <v>31</v>
      </c>
      <c r="AJ107" s="98">
        <f t="shared" si="6"/>
        <v>19</v>
      </c>
      <c r="AK107" s="98">
        <v>10</v>
      </c>
      <c r="AL107" s="98">
        <v>2</v>
      </c>
      <c r="AM107" s="98"/>
      <c r="AN107" s="98"/>
      <c r="AO107" s="98"/>
      <c r="AP107" s="98"/>
      <c r="AQ107" s="98"/>
      <c r="AR107" s="98"/>
      <c r="AS107" s="98"/>
      <c r="AT107" s="98">
        <f t="shared" si="7"/>
        <v>0</v>
      </c>
      <c r="AU107" s="99"/>
    </row>
    <row r="108" customFormat="1" ht="34" customHeight="1" spans="1:47">
      <c r="A108" s="92">
        <f t="shared" si="5"/>
        <v>105</v>
      </c>
      <c r="B108" s="93" t="s">
        <v>176</v>
      </c>
      <c r="C108" s="94" t="s">
        <v>173</v>
      </c>
      <c r="D108" s="95" t="s">
        <v>23</v>
      </c>
      <c r="E108" s="95" t="s">
        <v>23</v>
      </c>
      <c r="F108" s="95" t="s">
        <v>24</v>
      </c>
      <c r="G108" s="95" t="s">
        <v>24</v>
      </c>
      <c r="H108" s="95" t="s">
        <v>24</v>
      </c>
      <c r="I108" s="97" t="s">
        <v>26</v>
      </c>
      <c r="J108" s="97" t="s">
        <v>26</v>
      </c>
      <c r="K108" s="97" t="s">
        <v>26</v>
      </c>
      <c r="L108" s="97" t="s">
        <v>26</v>
      </c>
      <c r="M108" s="95" t="s">
        <v>24</v>
      </c>
      <c r="N108" s="97" t="s">
        <v>26</v>
      </c>
      <c r="O108" s="97" t="s">
        <v>26</v>
      </c>
      <c r="P108" s="97" t="s">
        <v>26</v>
      </c>
      <c r="Q108" s="97" t="s">
        <v>26</v>
      </c>
      <c r="R108" s="97" t="s">
        <v>26</v>
      </c>
      <c r="S108" s="95" t="s">
        <v>24</v>
      </c>
      <c r="T108" s="95" t="s">
        <v>24</v>
      </c>
      <c r="U108" s="97" t="s">
        <v>26</v>
      </c>
      <c r="V108" s="97" t="s">
        <v>26</v>
      </c>
      <c r="W108" s="97" t="s">
        <v>26</v>
      </c>
      <c r="X108" s="97" t="s">
        <v>26</v>
      </c>
      <c r="Y108" s="97" t="s">
        <v>26</v>
      </c>
      <c r="Z108" s="95" t="s">
        <v>24</v>
      </c>
      <c r="AA108" s="95" t="s">
        <v>24</v>
      </c>
      <c r="AB108" s="97" t="s">
        <v>26</v>
      </c>
      <c r="AC108" s="97" t="s">
        <v>26</v>
      </c>
      <c r="AD108" s="97" t="s">
        <v>26</v>
      </c>
      <c r="AE108" s="97" t="s">
        <v>26</v>
      </c>
      <c r="AF108" s="97" t="s">
        <v>26</v>
      </c>
      <c r="AG108" s="95" t="s">
        <v>24</v>
      </c>
      <c r="AH108" s="95" t="s">
        <v>24</v>
      </c>
      <c r="AI108" s="98">
        <v>31</v>
      </c>
      <c r="AJ108" s="98">
        <f t="shared" si="6"/>
        <v>19</v>
      </c>
      <c r="AK108" s="98">
        <v>10</v>
      </c>
      <c r="AL108" s="98">
        <v>2</v>
      </c>
      <c r="AM108" s="98"/>
      <c r="AN108" s="98"/>
      <c r="AO108" s="98"/>
      <c r="AP108" s="98"/>
      <c r="AQ108" s="98"/>
      <c r="AR108" s="98"/>
      <c r="AS108" s="98"/>
      <c r="AT108" s="98">
        <f t="shared" si="7"/>
        <v>0</v>
      </c>
      <c r="AU108" s="99"/>
    </row>
    <row r="109" customFormat="1" ht="34" customHeight="1" spans="1:47">
      <c r="A109" s="92">
        <f t="shared" si="5"/>
        <v>106</v>
      </c>
      <c r="B109" s="93" t="s">
        <v>178</v>
      </c>
      <c r="C109" s="94" t="s">
        <v>173</v>
      </c>
      <c r="D109" s="95" t="s">
        <v>23</v>
      </c>
      <c r="E109" s="95" t="s">
        <v>23</v>
      </c>
      <c r="F109" s="95" t="s">
        <v>24</v>
      </c>
      <c r="G109" s="95" t="s">
        <v>24</v>
      </c>
      <c r="H109" s="95" t="s">
        <v>24</v>
      </c>
      <c r="I109" s="97" t="s">
        <v>26</v>
      </c>
      <c r="J109" s="97" t="s">
        <v>26</v>
      </c>
      <c r="K109" s="97" t="s">
        <v>26</v>
      </c>
      <c r="L109" s="97" t="s">
        <v>26</v>
      </c>
      <c r="M109" s="95" t="s">
        <v>24</v>
      </c>
      <c r="N109" s="97" t="s">
        <v>26</v>
      </c>
      <c r="O109" s="97" t="s">
        <v>26</v>
      </c>
      <c r="P109" s="97" t="s">
        <v>26</v>
      </c>
      <c r="Q109" s="97" t="s">
        <v>26</v>
      </c>
      <c r="R109" s="97" t="s">
        <v>26</v>
      </c>
      <c r="S109" s="95" t="s">
        <v>24</v>
      </c>
      <c r="T109" s="95" t="s">
        <v>24</v>
      </c>
      <c r="U109" s="97" t="s">
        <v>26</v>
      </c>
      <c r="V109" s="97" t="s">
        <v>26</v>
      </c>
      <c r="W109" s="97" t="s">
        <v>26</v>
      </c>
      <c r="X109" s="97" t="s">
        <v>26</v>
      </c>
      <c r="Y109" s="97" t="s">
        <v>26</v>
      </c>
      <c r="Z109" s="95" t="s">
        <v>24</v>
      </c>
      <c r="AA109" s="95" t="s">
        <v>24</v>
      </c>
      <c r="AB109" s="97" t="s">
        <v>26</v>
      </c>
      <c r="AC109" s="97" t="s">
        <v>26</v>
      </c>
      <c r="AD109" s="97" t="s">
        <v>26</v>
      </c>
      <c r="AE109" s="97" t="s">
        <v>26</v>
      </c>
      <c r="AF109" s="97" t="s">
        <v>26</v>
      </c>
      <c r="AG109" s="95" t="s">
        <v>24</v>
      </c>
      <c r="AH109" s="95" t="s">
        <v>24</v>
      </c>
      <c r="AI109" s="98">
        <v>31</v>
      </c>
      <c r="AJ109" s="98">
        <f t="shared" si="6"/>
        <v>19</v>
      </c>
      <c r="AK109" s="98">
        <v>10</v>
      </c>
      <c r="AL109" s="98">
        <v>2</v>
      </c>
      <c r="AM109" s="98"/>
      <c r="AN109" s="98"/>
      <c r="AO109" s="98"/>
      <c r="AP109" s="98"/>
      <c r="AQ109" s="98"/>
      <c r="AR109" s="98"/>
      <c r="AS109" s="98"/>
      <c r="AT109" s="98">
        <f t="shared" si="7"/>
        <v>0</v>
      </c>
      <c r="AU109" s="99"/>
    </row>
    <row r="110" customFormat="1" ht="34" customHeight="1" spans="1:47">
      <c r="A110" s="92">
        <f t="shared" si="5"/>
        <v>107</v>
      </c>
      <c r="B110" s="93" t="s">
        <v>182</v>
      </c>
      <c r="C110" s="94" t="s">
        <v>173</v>
      </c>
      <c r="D110" s="95" t="s">
        <v>23</v>
      </c>
      <c r="E110" s="95" t="s">
        <v>23</v>
      </c>
      <c r="F110" s="95" t="s">
        <v>24</v>
      </c>
      <c r="G110" s="95" t="s">
        <v>24</v>
      </c>
      <c r="H110" s="95" t="s">
        <v>24</v>
      </c>
      <c r="I110" s="96" t="s">
        <v>120</v>
      </c>
      <c r="J110" s="96" t="s">
        <v>339</v>
      </c>
      <c r="K110" s="96" t="s">
        <v>339</v>
      </c>
      <c r="L110" s="97" t="s">
        <v>26</v>
      </c>
      <c r="M110" s="95" t="s">
        <v>24</v>
      </c>
      <c r="N110" s="96" t="s">
        <v>119</v>
      </c>
      <c r="O110" s="97" t="s">
        <v>26</v>
      </c>
      <c r="P110" s="97" t="s">
        <v>26</v>
      </c>
      <c r="Q110" s="96" t="s">
        <v>339</v>
      </c>
      <c r="R110" s="97" t="s">
        <v>26</v>
      </c>
      <c r="S110" s="95" t="s">
        <v>24</v>
      </c>
      <c r="T110" s="95" t="s">
        <v>24</v>
      </c>
      <c r="U110" s="96" t="s">
        <v>339</v>
      </c>
      <c r="V110" s="96" t="s">
        <v>70</v>
      </c>
      <c r="W110" s="96" t="s">
        <v>119</v>
      </c>
      <c r="X110" s="96" t="s">
        <v>119</v>
      </c>
      <c r="Y110" s="96" t="s">
        <v>70</v>
      </c>
      <c r="Z110" s="95" t="s">
        <v>24</v>
      </c>
      <c r="AA110" s="95" t="s">
        <v>24</v>
      </c>
      <c r="AB110" s="96" t="s">
        <v>119</v>
      </c>
      <c r="AC110" s="97" t="s">
        <v>26</v>
      </c>
      <c r="AD110" s="97" t="s">
        <v>26</v>
      </c>
      <c r="AE110" s="97" t="s">
        <v>26</v>
      </c>
      <c r="AF110" s="97" t="s">
        <v>26</v>
      </c>
      <c r="AG110" s="95" t="s">
        <v>24</v>
      </c>
      <c r="AH110" s="95" t="s">
        <v>24</v>
      </c>
      <c r="AI110" s="98">
        <v>31</v>
      </c>
      <c r="AJ110" s="98">
        <f t="shared" si="6"/>
        <v>17.37</v>
      </c>
      <c r="AK110" s="98">
        <v>10</v>
      </c>
      <c r="AL110" s="98">
        <v>2</v>
      </c>
      <c r="AM110" s="98">
        <v>1.63</v>
      </c>
      <c r="AN110" s="98"/>
      <c r="AO110" s="98">
        <v>1.63</v>
      </c>
      <c r="AP110" s="98"/>
      <c r="AQ110" s="98"/>
      <c r="AR110" s="98"/>
      <c r="AS110" s="98"/>
      <c r="AT110" s="98">
        <f t="shared" si="7"/>
        <v>0</v>
      </c>
      <c r="AU110" s="99" t="s">
        <v>366</v>
      </c>
    </row>
    <row r="111" customFormat="1" ht="34" customHeight="1" spans="1:47">
      <c r="A111" s="92">
        <f t="shared" si="5"/>
        <v>108</v>
      </c>
      <c r="B111" s="93" t="s">
        <v>367</v>
      </c>
      <c r="C111" s="94" t="s">
        <v>173</v>
      </c>
      <c r="D111" s="95" t="s">
        <v>23</v>
      </c>
      <c r="E111" s="95" t="s">
        <v>23</v>
      </c>
      <c r="F111" s="95" t="s">
        <v>24</v>
      </c>
      <c r="G111" s="95" t="s">
        <v>24</v>
      </c>
      <c r="H111" s="95" t="s">
        <v>24</v>
      </c>
      <c r="I111" s="97" t="s">
        <v>26</v>
      </c>
      <c r="J111" s="97" t="s">
        <v>26</v>
      </c>
      <c r="K111" s="97" t="s">
        <v>26</v>
      </c>
      <c r="L111" s="97" t="s">
        <v>26</v>
      </c>
      <c r="M111" s="95" t="s">
        <v>24</v>
      </c>
      <c r="N111" s="97" t="s">
        <v>26</v>
      </c>
      <c r="O111" s="97" t="s">
        <v>26</v>
      </c>
      <c r="P111" s="97" t="s">
        <v>26</v>
      </c>
      <c r="Q111" s="97" t="s">
        <v>26</v>
      </c>
      <c r="R111" s="97" t="s">
        <v>26</v>
      </c>
      <c r="S111" s="95" t="s">
        <v>24</v>
      </c>
      <c r="T111" s="95" t="s">
        <v>24</v>
      </c>
      <c r="U111" s="96" t="s">
        <v>70</v>
      </c>
      <c r="V111" s="96" t="s">
        <v>70</v>
      </c>
      <c r="W111" s="97" t="s">
        <v>26</v>
      </c>
      <c r="X111" s="97" t="s">
        <v>26</v>
      </c>
      <c r="Y111" s="97" t="s">
        <v>26</v>
      </c>
      <c r="Z111" s="95" t="s">
        <v>24</v>
      </c>
      <c r="AA111" s="95" t="s">
        <v>24</v>
      </c>
      <c r="AB111" s="97" t="s">
        <v>26</v>
      </c>
      <c r="AC111" s="97" t="s">
        <v>26</v>
      </c>
      <c r="AD111" s="97" t="s">
        <v>26</v>
      </c>
      <c r="AE111" s="97" t="s">
        <v>26</v>
      </c>
      <c r="AF111" s="97" t="s">
        <v>26</v>
      </c>
      <c r="AG111" s="95" t="s">
        <v>24</v>
      </c>
      <c r="AH111" s="95" t="s">
        <v>24</v>
      </c>
      <c r="AI111" s="98">
        <v>31</v>
      </c>
      <c r="AJ111" s="98">
        <f t="shared" si="6"/>
        <v>18.75</v>
      </c>
      <c r="AK111" s="98">
        <v>10</v>
      </c>
      <c r="AL111" s="98">
        <v>2</v>
      </c>
      <c r="AM111" s="98">
        <v>0.25</v>
      </c>
      <c r="AN111" s="98"/>
      <c r="AO111" s="98">
        <v>0.25</v>
      </c>
      <c r="AP111" s="98"/>
      <c r="AQ111" s="98"/>
      <c r="AR111" s="98"/>
      <c r="AS111" s="98"/>
      <c r="AT111" s="98">
        <f t="shared" si="7"/>
        <v>0</v>
      </c>
      <c r="AU111" s="99" t="s">
        <v>135</v>
      </c>
    </row>
    <row r="112" customFormat="1" ht="34" customHeight="1" spans="1:47">
      <c r="A112" s="92">
        <f t="shared" si="5"/>
        <v>109</v>
      </c>
      <c r="B112" s="93" t="s">
        <v>184</v>
      </c>
      <c r="C112" s="94" t="s">
        <v>173</v>
      </c>
      <c r="D112" s="95" t="s">
        <v>23</v>
      </c>
      <c r="E112" s="95" t="s">
        <v>23</v>
      </c>
      <c r="F112" s="95" t="s">
        <v>24</v>
      </c>
      <c r="G112" s="95" t="s">
        <v>24</v>
      </c>
      <c r="H112" s="95" t="s">
        <v>24</v>
      </c>
      <c r="I112" s="97" t="s">
        <v>26</v>
      </c>
      <c r="J112" s="97" t="s">
        <v>26</v>
      </c>
      <c r="K112" s="97" t="s">
        <v>26</v>
      </c>
      <c r="L112" s="97" t="s">
        <v>26</v>
      </c>
      <c r="M112" s="95" t="s">
        <v>24</v>
      </c>
      <c r="N112" s="97" t="s">
        <v>26</v>
      </c>
      <c r="O112" s="97" t="s">
        <v>26</v>
      </c>
      <c r="P112" s="100" t="s">
        <v>351</v>
      </c>
      <c r="Q112" s="97" t="s">
        <v>26</v>
      </c>
      <c r="R112" s="97" t="s">
        <v>26</v>
      </c>
      <c r="S112" s="95" t="s">
        <v>24</v>
      </c>
      <c r="T112" s="95" t="s">
        <v>24</v>
      </c>
      <c r="U112" s="97" t="s">
        <v>26</v>
      </c>
      <c r="V112" s="97" t="s">
        <v>26</v>
      </c>
      <c r="W112" s="97" t="s">
        <v>26</v>
      </c>
      <c r="X112" s="100" t="s">
        <v>351</v>
      </c>
      <c r="Y112" s="97" t="s">
        <v>26</v>
      </c>
      <c r="Z112" s="95" t="s">
        <v>24</v>
      </c>
      <c r="AA112" s="95" t="s">
        <v>24</v>
      </c>
      <c r="AB112" s="97" t="s">
        <v>26</v>
      </c>
      <c r="AC112" s="97" t="s">
        <v>26</v>
      </c>
      <c r="AD112" s="97" t="s">
        <v>26</v>
      </c>
      <c r="AE112" s="97" t="s">
        <v>26</v>
      </c>
      <c r="AF112" s="97" t="s">
        <v>26</v>
      </c>
      <c r="AG112" s="95" t="s">
        <v>24</v>
      </c>
      <c r="AH112" s="95" t="s">
        <v>24</v>
      </c>
      <c r="AI112" s="98">
        <v>31</v>
      </c>
      <c r="AJ112" s="98">
        <f t="shared" si="6"/>
        <v>17.87</v>
      </c>
      <c r="AK112" s="98">
        <v>10</v>
      </c>
      <c r="AL112" s="98">
        <v>2</v>
      </c>
      <c r="AM112" s="98">
        <v>1.13</v>
      </c>
      <c r="AN112" s="98"/>
      <c r="AO112" s="98"/>
      <c r="AP112" s="98"/>
      <c r="AQ112" s="98"/>
      <c r="AR112" s="98"/>
      <c r="AS112" s="98"/>
      <c r="AT112" s="98">
        <f t="shared" si="7"/>
        <v>1.13</v>
      </c>
      <c r="AU112" s="99"/>
    </row>
    <row r="113" customFormat="1" ht="34" customHeight="1" spans="1:47">
      <c r="A113" s="92">
        <f t="shared" si="5"/>
        <v>110</v>
      </c>
      <c r="B113" s="93" t="s">
        <v>185</v>
      </c>
      <c r="C113" s="94" t="s">
        <v>173</v>
      </c>
      <c r="D113" s="95" t="s">
        <v>23</v>
      </c>
      <c r="E113" s="95" t="s">
        <v>23</v>
      </c>
      <c r="F113" s="95" t="s">
        <v>24</v>
      </c>
      <c r="G113" s="95" t="s">
        <v>24</v>
      </c>
      <c r="H113" s="95" t="s">
        <v>24</v>
      </c>
      <c r="I113" s="97" t="s">
        <v>26</v>
      </c>
      <c r="J113" s="97" t="s">
        <v>26</v>
      </c>
      <c r="K113" s="97" t="s">
        <v>26</v>
      </c>
      <c r="L113" s="97" t="s">
        <v>26</v>
      </c>
      <c r="M113" s="95" t="s">
        <v>24</v>
      </c>
      <c r="N113" s="97" t="s">
        <v>26</v>
      </c>
      <c r="O113" s="97" t="s">
        <v>26</v>
      </c>
      <c r="P113" s="100" t="s">
        <v>321</v>
      </c>
      <c r="Q113" s="97" t="s">
        <v>26</v>
      </c>
      <c r="R113" s="97" t="s">
        <v>26</v>
      </c>
      <c r="S113" s="95" t="s">
        <v>24</v>
      </c>
      <c r="T113" s="95" t="s">
        <v>24</v>
      </c>
      <c r="U113" s="97" t="s">
        <v>26</v>
      </c>
      <c r="V113" s="97" t="s">
        <v>26</v>
      </c>
      <c r="W113" s="100" t="s">
        <v>321</v>
      </c>
      <c r="X113" s="97" t="s">
        <v>26</v>
      </c>
      <c r="Y113" s="97" t="s">
        <v>26</v>
      </c>
      <c r="Z113" s="95" t="s">
        <v>24</v>
      </c>
      <c r="AA113" s="95" t="s">
        <v>24</v>
      </c>
      <c r="AB113" s="97" t="s">
        <v>26</v>
      </c>
      <c r="AC113" s="97" t="s">
        <v>26</v>
      </c>
      <c r="AD113" s="100" t="s">
        <v>80</v>
      </c>
      <c r="AE113" s="100" t="s">
        <v>321</v>
      </c>
      <c r="AF113" s="97" t="s">
        <v>26</v>
      </c>
      <c r="AG113" s="95" t="s">
        <v>24</v>
      </c>
      <c r="AH113" s="95" t="s">
        <v>24</v>
      </c>
      <c r="AI113" s="98">
        <v>31</v>
      </c>
      <c r="AJ113" s="98">
        <f t="shared" si="6"/>
        <v>17.19</v>
      </c>
      <c r="AK113" s="98">
        <v>10</v>
      </c>
      <c r="AL113" s="98">
        <v>2</v>
      </c>
      <c r="AM113" s="98">
        <v>1.81</v>
      </c>
      <c r="AN113" s="98"/>
      <c r="AO113" s="98"/>
      <c r="AP113" s="98"/>
      <c r="AQ113" s="98"/>
      <c r="AR113" s="98"/>
      <c r="AS113" s="98"/>
      <c r="AT113" s="98">
        <f t="shared" si="7"/>
        <v>1.81</v>
      </c>
      <c r="AU113" s="99"/>
    </row>
    <row r="114" customFormat="1" ht="34" customHeight="1" spans="1:47">
      <c r="A114" s="92">
        <f t="shared" si="5"/>
        <v>111</v>
      </c>
      <c r="B114" s="93" t="s">
        <v>188</v>
      </c>
      <c r="C114" s="94" t="s">
        <v>173</v>
      </c>
      <c r="D114" s="95" t="s">
        <v>23</v>
      </c>
      <c r="E114" s="95" t="s">
        <v>23</v>
      </c>
      <c r="F114" s="95" t="s">
        <v>24</v>
      </c>
      <c r="G114" s="95" t="s">
        <v>24</v>
      </c>
      <c r="H114" s="95" t="s">
        <v>24</v>
      </c>
      <c r="I114" s="100" t="s">
        <v>25</v>
      </c>
      <c r="J114" s="97" t="s">
        <v>26</v>
      </c>
      <c r="K114" s="97" t="s">
        <v>26</v>
      </c>
      <c r="L114" s="97" t="s">
        <v>26</v>
      </c>
      <c r="M114" s="95" t="s">
        <v>24</v>
      </c>
      <c r="N114" s="100" t="s">
        <v>138</v>
      </c>
      <c r="O114" s="97" t="s">
        <v>26</v>
      </c>
      <c r="P114" s="100" t="s">
        <v>368</v>
      </c>
      <c r="Q114" s="97" t="s">
        <v>26</v>
      </c>
      <c r="R114" s="97" t="s">
        <v>26</v>
      </c>
      <c r="S114" s="95" t="s">
        <v>24</v>
      </c>
      <c r="T114" s="95" t="s">
        <v>24</v>
      </c>
      <c r="U114" s="97" t="s">
        <v>26</v>
      </c>
      <c r="V114" s="96" t="s">
        <v>70</v>
      </c>
      <c r="W114" s="96" t="s">
        <v>70</v>
      </c>
      <c r="X114" s="97" t="s">
        <v>26</v>
      </c>
      <c r="Y114" s="97" t="s">
        <v>26</v>
      </c>
      <c r="Z114" s="95" t="s">
        <v>24</v>
      </c>
      <c r="AA114" s="95" t="s">
        <v>24</v>
      </c>
      <c r="AB114" s="97" t="s">
        <v>26</v>
      </c>
      <c r="AC114" s="97" t="s">
        <v>26</v>
      </c>
      <c r="AD114" s="97" t="s">
        <v>26</v>
      </c>
      <c r="AE114" s="97" t="s">
        <v>26</v>
      </c>
      <c r="AF114" s="97" t="s">
        <v>26</v>
      </c>
      <c r="AG114" s="95" t="s">
        <v>24</v>
      </c>
      <c r="AH114" s="95" t="s">
        <v>24</v>
      </c>
      <c r="AI114" s="98">
        <v>31</v>
      </c>
      <c r="AJ114" s="98">
        <f t="shared" si="6"/>
        <v>17.55</v>
      </c>
      <c r="AK114" s="98">
        <v>10</v>
      </c>
      <c r="AL114" s="98">
        <v>2</v>
      </c>
      <c r="AM114" s="98">
        <v>1.45</v>
      </c>
      <c r="AN114" s="98"/>
      <c r="AO114" s="98">
        <v>0.25</v>
      </c>
      <c r="AP114" s="98"/>
      <c r="AQ114" s="98"/>
      <c r="AR114" s="98"/>
      <c r="AS114" s="98"/>
      <c r="AT114" s="98">
        <f t="shared" si="7"/>
        <v>1.2</v>
      </c>
      <c r="AU114" s="99" t="s">
        <v>135</v>
      </c>
    </row>
    <row r="115" customFormat="1" ht="34" customHeight="1" spans="1:47">
      <c r="A115" s="92">
        <f t="shared" si="5"/>
        <v>112</v>
      </c>
      <c r="B115" s="93" t="s">
        <v>190</v>
      </c>
      <c r="C115" s="94" t="s">
        <v>173</v>
      </c>
      <c r="D115" s="95" t="s">
        <v>23</v>
      </c>
      <c r="E115" s="95" t="s">
        <v>23</v>
      </c>
      <c r="F115" s="95" t="s">
        <v>24</v>
      </c>
      <c r="G115" s="95" t="s">
        <v>24</v>
      </c>
      <c r="H115" s="95" t="s">
        <v>24</v>
      </c>
      <c r="I115" s="97" t="s">
        <v>26</v>
      </c>
      <c r="J115" s="97" t="s">
        <v>26</v>
      </c>
      <c r="K115" s="97" t="s">
        <v>26</v>
      </c>
      <c r="L115" s="97" t="s">
        <v>26</v>
      </c>
      <c r="M115" s="95" t="s">
        <v>24</v>
      </c>
      <c r="N115" s="97" t="s">
        <v>26</v>
      </c>
      <c r="O115" s="97" t="s">
        <v>26</v>
      </c>
      <c r="P115" s="97" t="s">
        <v>26</v>
      </c>
      <c r="Q115" s="97" t="s">
        <v>26</v>
      </c>
      <c r="R115" s="97" t="s">
        <v>26</v>
      </c>
      <c r="S115" s="95" t="s">
        <v>24</v>
      </c>
      <c r="T115" s="95" t="s">
        <v>24</v>
      </c>
      <c r="U115" s="97" t="s">
        <v>26</v>
      </c>
      <c r="V115" s="97" t="s">
        <v>26</v>
      </c>
      <c r="W115" s="97" t="s">
        <v>26</v>
      </c>
      <c r="X115" s="97" t="s">
        <v>26</v>
      </c>
      <c r="Y115" s="97" t="s">
        <v>26</v>
      </c>
      <c r="Z115" s="95" t="s">
        <v>24</v>
      </c>
      <c r="AA115" s="95" t="s">
        <v>24</v>
      </c>
      <c r="AB115" s="97" t="s">
        <v>26</v>
      </c>
      <c r="AC115" s="97" t="s">
        <v>26</v>
      </c>
      <c r="AD115" s="97" t="s">
        <v>26</v>
      </c>
      <c r="AE115" s="97" t="s">
        <v>26</v>
      </c>
      <c r="AF115" s="100" t="s">
        <v>52</v>
      </c>
      <c r="AG115" s="95" t="s">
        <v>24</v>
      </c>
      <c r="AH115" s="95" t="s">
        <v>24</v>
      </c>
      <c r="AI115" s="98">
        <v>31</v>
      </c>
      <c r="AJ115" s="98">
        <f t="shared" si="6"/>
        <v>18.94</v>
      </c>
      <c r="AK115" s="98">
        <v>10</v>
      </c>
      <c r="AL115" s="98">
        <v>2</v>
      </c>
      <c r="AM115" s="98">
        <v>0.06</v>
      </c>
      <c r="AN115" s="98"/>
      <c r="AO115" s="98"/>
      <c r="AP115" s="98"/>
      <c r="AQ115" s="98"/>
      <c r="AR115" s="98"/>
      <c r="AS115" s="98"/>
      <c r="AT115" s="98">
        <f t="shared" si="7"/>
        <v>0.06</v>
      </c>
      <c r="AU115" s="99"/>
    </row>
    <row r="116" customFormat="1" ht="34" customHeight="1" spans="1:47">
      <c r="A116" s="92">
        <f t="shared" si="5"/>
        <v>113</v>
      </c>
      <c r="B116" s="93" t="s">
        <v>191</v>
      </c>
      <c r="C116" s="94" t="s">
        <v>173</v>
      </c>
      <c r="D116" s="95" t="s">
        <v>23</v>
      </c>
      <c r="E116" s="95" t="s">
        <v>23</v>
      </c>
      <c r="F116" s="95" t="s">
        <v>24</v>
      </c>
      <c r="G116" s="95" t="s">
        <v>24</v>
      </c>
      <c r="H116" s="95" t="s">
        <v>24</v>
      </c>
      <c r="I116" s="97" t="s">
        <v>26</v>
      </c>
      <c r="J116" s="97" t="s">
        <v>26</v>
      </c>
      <c r="K116" s="97" t="s">
        <v>26</v>
      </c>
      <c r="L116" s="97" t="s">
        <v>26</v>
      </c>
      <c r="M116" s="95" t="s">
        <v>24</v>
      </c>
      <c r="N116" s="100" t="s">
        <v>321</v>
      </c>
      <c r="O116" s="100" t="s">
        <v>25</v>
      </c>
      <c r="P116" s="100" t="s">
        <v>25</v>
      </c>
      <c r="Q116" s="97" t="s">
        <v>26</v>
      </c>
      <c r="R116" s="97" t="s">
        <v>26</v>
      </c>
      <c r="S116" s="95" t="s">
        <v>24</v>
      </c>
      <c r="T116" s="95" t="s">
        <v>24</v>
      </c>
      <c r="U116" s="97" t="s">
        <v>26</v>
      </c>
      <c r="V116" s="97" t="s">
        <v>26</v>
      </c>
      <c r="W116" s="97" t="s">
        <v>26</v>
      </c>
      <c r="X116" s="97" t="s">
        <v>26</v>
      </c>
      <c r="Y116" s="97" t="s">
        <v>26</v>
      </c>
      <c r="Z116" s="95" t="s">
        <v>24</v>
      </c>
      <c r="AA116" s="95" t="s">
        <v>24</v>
      </c>
      <c r="AB116" s="97" t="s">
        <v>26</v>
      </c>
      <c r="AC116" s="97" t="s">
        <v>26</v>
      </c>
      <c r="AD116" s="97" t="s">
        <v>26</v>
      </c>
      <c r="AE116" s="97" t="s">
        <v>26</v>
      </c>
      <c r="AF116" s="97" t="s">
        <v>26</v>
      </c>
      <c r="AG116" s="95" t="s">
        <v>24</v>
      </c>
      <c r="AH116" s="95" t="s">
        <v>24</v>
      </c>
      <c r="AI116" s="98">
        <v>31</v>
      </c>
      <c r="AJ116" s="98">
        <f t="shared" si="6"/>
        <v>16.56</v>
      </c>
      <c r="AK116" s="98">
        <v>10</v>
      </c>
      <c r="AL116" s="98">
        <v>2</v>
      </c>
      <c r="AM116" s="98">
        <v>2.44</v>
      </c>
      <c r="AN116" s="98"/>
      <c r="AO116" s="98"/>
      <c r="AP116" s="98"/>
      <c r="AQ116" s="98"/>
      <c r="AR116" s="98"/>
      <c r="AS116" s="98"/>
      <c r="AT116" s="98">
        <f t="shared" si="7"/>
        <v>2.44</v>
      </c>
      <c r="AU116" s="99"/>
    </row>
    <row r="117" customFormat="1" ht="34" customHeight="1" spans="1:47">
      <c r="A117" s="92">
        <f t="shared" si="5"/>
        <v>114</v>
      </c>
      <c r="B117" s="93" t="s">
        <v>369</v>
      </c>
      <c r="C117" s="94" t="s">
        <v>173</v>
      </c>
      <c r="D117" s="95" t="s">
        <v>23</v>
      </c>
      <c r="E117" s="95" t="s">
        <v>23</v>
      </c>
      <c r="F117" s="95" t="s">
        <v>24</v>
      </c>
      <c r="G117" s="95" t="s">
        <v>24</v>
      </c>
      <c r="H117" s="95" t="s">
        <v>24</v>
      </c>
      <c r="I117" s="97" t="s">
        <v>26</v>
      </c>
      <c r="J117" s="97" t="s">
        <v>26</v>
      </c>
      <c r="K117" s="97" t="s">
        <v>26</v>
      </c>
      <c r="L117" s="97" t="s">
        <v>26</v>
      </c>
      <c r="M117" s="95" t="s">
        <v>24</v>
      </c>
      <c r="N117" s="97" t="s">
        <v>26</v>
      </c>
      <c r="O117" s="97" t="s">
        <v>26</v>
      </c>
      <c r="P117" s="97" t="s">
        <v>26</v>
      </c>
      <c r="Q117" s="97" t="s">
        <v>26</v>
      </c>
      <c r="R117" s="97" t="s">
        <v>26</v>
      </c>
      <c r="S117" s="95" t="s">
        <v>24</v>
      </c>
      <c r="T117" s="95" t="s">
        <v>24</v>
      </c>
      <c r="U117" s="97" t="s">
        <v>26</v>
      </c>
      <c r="V117" s="97" t="s">
        <v>26</v>
      </c>
      <c r="W117" s="97" t="s">
        <v>26</v>
      </c>
      <c r="X117" s="97" t="s">
        <v>26</v>
      </c>
      <c r="Y117" s="97" t="s">
        <v>26</v>
      </c>
      <c r="Z117" s="95" t="s">
        <v>24</v>
      </c>
      <c r="AA117" s="95" t="s">
        <v>24</v>
      </c>
      <c r="AB117" s="97" t="s">
        <v>26</v>
      </c>
      <c r="AC117" s="97" t="s">
        <v>26</v>
      </c>
      <c r="AD117" s="97" t="s">
        <v>26</v>
      </c>
      <c r="AE117" s="97" t="s">
        <v>26</v>
      </c>
      <c r="AF117" s="97" t="s">
        <v>26</v>
      </c>
      <c r="AG117" s="95" t="s">
        <v>24</v>
      </c>
      <c r="AH117" s="95" t="s">
        <v>24</v>
      </c>
      <c r="AI117" s="98">
        <v>31</v>
      </c>
      <c r="AJ117" s="98">
        <f t="shared" si="6"/>
        <v>19</v>
      </c>
      <c r="AK117" s="98">
        <v>10</v>
      </c>
      <c r="AL117" s="98">
        <v>2</v>
      </c>
      <c r="AM117" s="98"/>
      <c r="AN117" s="98"/>
      <c r="AO117" s="98"/>
      <c r="AP117" s="98"/>
      <c r="AQ117" s="98"/>
      <c r="AR117" s="98"/>
      <c r="AS117" s="98"/>
      <c r="AT117" s="98">
        <f t="shared" si="7"/>
        <v>0</v>
      </c>
      <c r="AU117" s="99"/>
    </row>
    <row r="118" customFormat="1" ht="34" customHeight="1" spans="1:47">
      <c r="A118" s="92">
        <f t="shared" si="5"/>
        <v>115</v>
      </c>
      <c r="B118" s="93" t="s">
        <v>192</v>
      </c>
      <c r="C118" s="109" t="s">
        <v>370</v>
      </c>
      <c r="D118" s="95" t="s">
        <v>23</v>
      </c>
      <c r="E118" s="95" t="s">
        <v>23</v>
      </c>
      <c r="F118" s="95" t="s">
        <v>24</v>
      </c>
      <c r="G118" s="95" t="s">
        <v>24</v>
      </c>
      <c r="H118" s="95" t="s">
        <v>24</v>
      </c>
      <c r="I118" s="97" t="s">
        <v>26</v>
      </c>
      <c r="J118" s="97" t="s">
        <v>26</v>
      </c>
      <c r="K118" s="97" t="s">
        <v>26</v>
      </c>
      <c r="L118" s="97" t="s">
        <v>26</v>
      </c>
      <c r="M118" s="95" t="s">
        <v>24</v>
      </c>
      <c r="N118" s="97" t="s">
        <v>26</v>
      </c>
      <c r="O118" s="97" t="s">
        <v>26</v>
      </c>
      <c r="P118" s="97" t="s">
        <v>26</v>
      </c>
      <c r="Q118" s="97" t="s">
        <v>26</v>
      </c>
      <c r="R118" s="97" t="s">
        <v>26</v>
      </c>
      <c r="S118" s="95" t="s">
        <v>24</v>
      </c>
      <c r="T118" s="95" t="s">
        <v>24</v>
      </c>
      <c r="U118" s="97" t="s">
        <v>26</v>
      </c>
      <c r="V118" s="97" t="s">
        <v>26</v>
      </c>
      <c r="W118" s="97" t="s">
        <v>26</v>
      </c>
      <c r="X118" s="97" t="s">
        <v>26</v>
      </c>
      <c r="Y118" s="97" t="s">
        <v>26</v>
      </c>
      <c r="Z118" s="95" t="s">
        <v>24</v>
      </c>
      <c r="AA118" s="95" t="s">
        <v>24</v>
      </c>
      <c r="AB118" s="97" t="s">
        <v>26</v>
      </c>
      <c r="AC118" s="97" t="s">
        <v>26</v>
      </c>
      <c r="AD118" s="97" t="s">
        <v>26</v>
      </c>
      <c r="AE118" s="97" t="s">
        <v>26</v>
      </c>
      <c r="AF118" s="97" t="s">
        <v>26</v>
      </c>
      <c r="AG118" s="95" t="s">
        <v>24</v>
      </c>
      <c r="AH118" s="95" t="s">
        <v>24</v>
      </c>
      <c r="AI118" s="98">
        <v>31</v>
      </c>
      <c r="AJ118" s="98">
        <f t="shared" si="6"/>
        <v>19</v>
      </c>
      <c r="AK118" s="98">
        <v>10</v>
      </c>
      <c r="AL118" s="98">
        <v>2</v>
      </c>
      <c r="AM118" s="98"/>
      <c r="AN118" s="98"/>
      <c r="AO118" s="98"/>
      <c r="AP118" s="98"/>
      <c r="AQ118" s="98"/>
      <c r="AR118" s="98"/>
      <c r="AS118" s="98"/>
      <c r="AT118" s="98">
        <f t="shared" si="7"/>
        <v>0</v>
      </c>
      <c r="AU118" s="99"/>
    </row>
    <row r="119" customFormat="1" ht="34" customHeight="1" spans="1:47">
      <c r="A119" s="92">
        <f t="shared" si="5"/>
        <v>116</v>
      </c>
      <c r="B119" s="93" t="s">
        <v>194</v>
      </c>
      <c r="C119" s="109" t="s">
        <v>370</v>
      </c>
      <c r="D119" s="95" t="s">
        <v>23</v>
      </c>
      <c r="E119" s="95" t="s">
        <v>23</v>
      </c>
      <c r="F119" s="95" t="s">
        <v>24</v>
      </c>
      <c r="G119" s="95" t="s">
        <v>24</v>
      </c>
      <c r="H119" s="95" t="s">
        <v>24</v>
      </c>
      <c r="I119" s="97" t="s">
        <v>26</v>
      </c>
      <c r="J119" s="97" t="s">
        <v>26</v>
      </c>
      <c r="K119" s="97" t="s">
        <v>26</v>
      </c>
      <c r="L119" s="97" t="s">
        <v>26</v>
      </c>
      <c r="M119" s="95" t="s">
        <v>24</v>
      </c>
      <c r="N119" s="97" t="s">
        <v>26</v>
      </c>
      <c r="O119" s="97" t="s">
        <v>26</v>
      </c>
      <c r="P119" s="97" t="s">
        <v>26</v>
      </c>
      <c r="Q119" s="97" t="s">
        <v>26</v>
      </c>
      <c r="R119" s="97" t="s">
        <v>26</v>
      </c>
      <c r="S119" s="95" t="s">
        <v>24</v>
      </c>
      <c r="T119" s="95" t="s">
        <v>24</v>
      </c>
      <c r="U119" s="97" t="s">
        <v>26</v>
      </c>
      <c r="V119" s="97" t="s">
        <v>26</v>
      </c>
      <c r="W119" s="97" t="s">
        <v>26</v>
      </c>
      <c r="X119" s="97" t="s">
        <v>26</v>
      </c>
      <c r="Y119" s="97" t="s">
        <v>26</v>
      </c>
      <c r="Z119" s="95" t="s">
        <v>24</v>
      </c>
      <c r="AA119" s="95" t="s">
        <v>24</v>
      </c>
      <c r="AB119" s="97" t="s">
        <v>26</v>
      </c>
      <c r="AC119" s="97" t="s">
        <v>26</v>
      </c>
      <c r="AD119" s="97" t="s">
        <v>26</v>
      </c>
      <c r="AE119" s="97" t="s">
        <v>26</v>
      </c>
      <c r="AF119" s="97" t="s">
        <v>26</v>
      </c>
      <c r="AG119" s="95" t="s">
        <v>24</v>
      </c>
      <c r="AH119" s="95" t="s">
        <v>24</v>
      </c>
      <c r="AI119" s="98">
        <v>31</v>
      </c>
      <c r="AJ119" s="98">
        <f t="shared" si="6"/>
        <v>19</v>
      </c>
      <c r="AK119" s="98">
        <v>10</v>
      </c>
      <c r="AL119" s="98">
        <v>2</v>
      </c>
      <c r="AM119" s="98"/>
      <c r="AN119" s="98"/>
      <c r="AO119" s="98"/>
      <c r="AP119" s="98"/>
      <c r="AQ119" s="98"/>
      <c r="AR119" s="98"/>
      <c r="AS119" s="98"/>
      <c r="AT119" s="98">
        <f t="shared" si="7"/>
        <v>0</v>
      </c>
      <c r="AU119" s="99"/>
    </row>
    <row r="120" customFormat="1" ht="34" customHeight="1" spans="1:47">
      <c r="A120" s="92">
        <f t="shared" si="5"/>
        <v>117</v>
      </c>
      <c r="B120" s="93" t="s">
        <v>196</v>
      </c>
      <c r="C120" s="109" t="s">
        <v>370</v>
      </c>
      <c r="D120" s="95" t="s">
        <v>23</v>
      </c>
      <c r="E120" s="95" t="s">
        <v>23</v>
      </c>
      <c r="F120" s="95" t="s">
        <v>24</v>
      </c>
      <c r="G120" s="95" t="s">
        <v>24</v>
      </c>
      <c r="H120" s="95" t="s">
        <v>24</v>
      </c>
      <c r="I120" s="97" t="s">
        <v>26</v>
      </c>
      <c r="J120" s="97" t="s">
        <v>26</v>
      </c>
      <c r="K120" s="97" t="s">
        <v>26</v>
      </c>
      <c r="L120" s="97" t="s">
        <v>26</v>
      </c>
      <c r="M120" s="95" t="s">
        <v>24</v>
      </c>
      <c r="N120" s="97" t="s">
        <v>26</v>
      </c>
      <c r="O120" s="97" t="s">
        <v>26</v>
      </c>
      <c r="P120" s="97" t="s">
        <v>26</v>
      </c>
      <c r="Q120" s="97" t="s">
        <v>26</v>
      </c>
      <c r="R120" s="97" t="s">
        <v>26</v>
      </c>
      <c r="S120" s="95" t="s">
        <v>24</v>
      </c>
      <c r="T120" s="95" t="s">
        <v>24</v>
      </c>
      <c r="U120" s="97" t="s">
        <v>26</v>
      </c>
      <c r="V120" s="97" t="s">
        <v>26</v>
      </c>
      <c r="W120" s="97" t="s">
        <v>26</v>
      </c>
      <c r="X120" s="97" t="s">
        <v>26</v>
      </c>
      <c r="Y120" s="97" t="s">
        <v>26</v>
      </c>
      <c r="Z120" s="95" t="s">
        <v>24</v>
      </c>
      <c r="AA120" s="95" t="s">
        <v>24</v>
      </c>
      <c r="AB120" s="97" t="s">
        <v>26</v>
      </c>
      <c r="AC120" s="97" t="s">
        <v>26</v>
      </c>
      <c r="AD120" s="97" t="s">
        <v>26</v>
      </c>
      <c r="AE120" s="97" t="s">
        <v>26</v>
      </c>
      <c r="AF120" s="97" t="s">
        <v>26</v>
      </c>
      <c r="AG120" s="95" t="s">
        <v>24</v>
      </c>
      <c r="AH120" s="95" t="s">
        <v>24</v>
      </c>
      <c r="AI120" s="98">
        <v>31</v>
      </c>
      <c r="AJ120" s="98">
        <f t="shared" ref="AJ120:AJ172" si="8">AI120-AM120-AK120-AL120</f>
        <v>19</v>
      </c>
      <c r="AK120" s="98">
        <v>10</v>
      </c>
      <c r="AL120" s="98">
        <v>2</v>
      </c>
      <c r="AM120" s="98"/>
      <c r="AN120" s="98"/>
      <c r="AO120" s="98"/>
      <c r="AP120" s="98"/>
      <c r="AQ120" s="98"/>
      <c r="AR120" s="98"/>
      <c r="AS120" s="98"/>
      <c r="AT120" s="98">
        <f t="shared" ref="AT120:AT172" si="9">AM120-AN120-AO120-AP120-AQ120-AR120+AS120</f>
        <v>0</v>
      </c>
      <c r="AU120" s="99"/>
    </row>
    <row r="121" customFormat="1" ht="34" customHeight="1" spans="1:47">
      <c r="A121" s="92">
        <f t="shared" si="5"/>
        <v>118</v>
      </c>
      <c r="B121" s="93" t="s">
        <v>198</v>
      </c>
      <c r="C121" s="109" t="s">
        <v>370</v>
      </c>
      <c r="D121" s="95" t="s">
        <v>23</v>
      </c>
      <c r="E121" s="95" t="s">
        <v>23</v>
      </c>
      <c r="F121" s="95" t="s">
        <v>24</v>
      </c>
      <c r="G121" s="95" t="s">
        <v>24</v>
      </c>
      <c r="H121" s="95" t="s">
        <v>24</v>
      </c>
      <c r="I121" s="97" t="s">
        <v>26</v>
      </c>
      <c r="J121" s="97" t="s">
        <v>26</v>
      </c>
      <c r="K121" s="97" t="s">
        <v>26</v>
      </c>
      <c r="L121" s="97" t="s">
        <v>26</v>
      </c>
      <c r="M121" s="95" t="s">
        <v>24</v>
      </c>
      <c r="N121" s="97" t="s">
        <v>26</v>
      </c>
      <c r="O121" s="97" t="s">
        <v>26</v>
      </c>
      <c r="P121" s="97" t="s">
        <v>26</v>
      </c>
      <c r="Q121" s="97" t="s">
        <v>26</v>
      </c>
      <c r="R121" s="97" t="s">
        <v>26</v>
      </c>
      <c r="S121" s="95" t="s">
        <v>24</v>
      </c>
      <c r="T121" s="95" t="s">
        <v>24</v>
      </c>
      <c r="U121" s="97" t="s">
        <v>26</v>
      </c>
      <c r="V121" s="97" t="s">
        <v>26</v>
      </c>
      <c r="W121" s="97" t="s">
        <v>26</v>
      </c>
      <c r="X121" s="97" t="s">
        <v>26</v>
      </c>
      <c r="Y121" s="97" t="s">
        <v>26</v>
      </c>
      <c r="Z121" s="95" t="s">
        <v>24</v>
      </c>
      <c r="AA121" s="95" t="s">
        <v>24</v>
      </c>
      <c r="AB121" s="97" t="s">
        <v>26</v>
      </c>
      <c r="AC121" s="97" t="s">
        <v>26</v>
      </c>
      <c r="AD121" s="97" t="s">
        <v>26</v>
      </c>
      <c r="AE121" s="97" t="s">
        <v>26</v>
      </c>
      <c r="AF121" s="97" t="s">
        <v>26</v>
      </c>
      <c r="AG121" s="95" t="s">
        <v>24</v>
      </c>
      <c r="AH121" s="95" t="s">
        <v>24</v>
      </c>
      <c r="AI121" s="98">
        <v>31</v>
      </c>
      <c r="AJ121" s="98">
        <f t="shared" si="8"/>
        <v>19</v>
      </c>
      <c r="AK121" s="98">
        <v>10</v>
      </c>
      <c r="AL121" s="98">
        <v>2</v>
      </c>
      <c r="AM121" s="98"/>
      <c r="AN121" s="98"/>
      <c r="AO121" s="98"/>
      <c r="AP121" s="98"/>
      <c r="AQ121" s="98"/>
      <c r="AR121" s="98"/>
      <c r="AS121" s="98"/>
      <c r="AT121" s="98">
        <f t="shared" si="9"/>
        <v>0</v>
      </c>
      <c r="AU121" s="99"/>
    </row>
    <row r="122" customFormat="1" ht="34" customHeight="1" spans="1:47">
      <c r="A122" s="92">
        <f t="shared" si="5"/>
        <v>119</v>
      </c>
      <c r="B122" s="106" t="s">
        <v>199</v>
      </c>
      <c r="C122" s="109" t="s">
        <v>370</v>
      </c>
      <c r="D122" s="95" t="s">
        <v>23</v>
      </c>
      <c r="E122" s="95" t="s">
        <v>23</v>
      </c>
      <c r="F122" s="95" t="s">
        <v>24</v>
      </c>
      <c r="G122" s="95" t="s">
        <v>24</v>
      </c>
      <c r="H122" s="95" t="s">
        <v>24</v>
      </c>
      <c r="I122" s="100" t="s">
        <v>25</v>
      </c>
      <c r="J122" s="100" t="s">
        <v>25</v>
      </c>
      <c r="K122" s="100" t="s">
        <v>25</v>
      </c>
      <c r="L122" s="100" t="s">
        <v>25</v>
      </c>
      <c r="M122" s="95" t="s">
        <v>24</v>
      </c>
      <c r="N122" s="97" t="s">
        <v>26</v>
      </c>
      <c r="O122" s="97" t="s">
        <v>26</v>
      </c>
      <c r="P122" s="97" t="s">
        <v>26</v>
      </c>
      <c r="Q122" s="97" t="s">
        <v>26</v>
      </c>
      <c r="R122" s="97" t="s">
        <v>26</v>
      </c>
      <c r="S122" s="95" t="s">
        <v>24</v>
      </c>
      <c r="T122" s="95" t="s">
        <v>24</v>
      </c>
      <c r="U122" s="97" t="s">
        <v>26</v>
      </c>
      <c r="V122" s="97" t="s">
        <v>26</v>
      </c>
      <c r="W122" s="100" t="s">
        <v>25</v>
      </c>
      <c r="X122" s="97" t="s">
        <v>26</v>
      </c>
      <c r="Y122" s="97" t="s">
        <v>26</v>
      </c>
      <c r="Z122" s="95" t="s">
        <v>24</v>
      </c>
      <c r="AA122" s="95" t="s">
        <v>24</v>
      </c>
      <c r="AB122" s="97" t="s">
        <v>26</v>
      </c>
      <c r="AC122" s="97" t="s">
        <v>26</v>
      </c>
      <c r="AD122" s="97" t="s">
        <v>26</v>
      </c>
      <c r="AE122" s="97" t="s">
        <v>26</v>
      </c>
      <c r="AF122" s="97" t="s">
        <v>26</v>
      </c>
      <c r="AG122" s="98" t="s">
        <v>34</v>
      </c>
      <c r="AH122" s="98" t="s">
        <v>34</v>
      </c>
      <c r="AI122" s="98">
        <v>31</v>
      </c>
      <c r="AJ122" s="98">
        <f t="shared" si="8"/>
        <v>14</v>
      </c>
      <c r="AK122" s="98">
        <v>10</v>
      </c>
      <c r="AL122" s="98">
        <v>2</v>
      </c>
      <c r="AM122" s="98">
        <v>5</v>
      </c>
      <c r="AN122" s="98"/>
      <c r="AO122" s="98"/>
      <c r="AP122" s="98"/>
      <c r="AQ122" s="98"/>
      <c r="AR122" s="98"/>
      <c r="AS122" s="98"/>
      <c r="AT122" s="98">
        <f t="shared" si="9"/>
        <v>5</v>
      </c>
      <c r="AU122" s="99" t="s">
        <v>371</v>
      </c>
    </row>
    <row r="123" customFormat="1" ht="34" customHeight="1" spans="1:47">
      <c r="A123" s="92">
        <f t="shared" si="5"/>
        <v>120</v>
      </c>
      <c r="B123" s="93" t="s">
        <v>200</v>
      </c>
      <c r="C123" s="109" t="s">
        <v>370</v>
      </c>
      <c r="D123" s="95" t="s">
        <v>23</v>
      </c>
      <c r="E123" s="95" t="s">
        <v>23</v>
      </c>
      <c r="F123" s="95" t="s">
        <v>24</v>
      </c>
      <c r="G123" s="95" t="s">
        <v>24</v>
      </c>
      <c r="H123" s="95" t="s">
        <v>24</v>
      </c>
      <c r="I123" s="97" t="s">
        <v>26</v>
      </c>
      <c r="J123" s="97" t="s">
        <v>26</v>
      </c>
      <c r="K123" s="97" t="s">
        <v>26</v>
      </c>
      <c r="L123" s="97" t="s">
        <v>26</v>
      </c>
      <c r="M123" s="95" t="s">
        <v>24</v>
      </c>
      <c r="N123" s="97" t="s">
        <v>26</v>
      </c>
      <c r="O123" s="97" t="s">
        <v>26</v>
      </c>
      <c r="P123" s="97" t="s">
        <v>26</v>
      </c>
      <c r="Q123" s="97" t="s">
        <v>26</v>
      </c>
      <c r="R123" s="97" t="s">
        <v>26</v>
      </c>
      <c r="S123" s="95" t="s">
        <v>24</v>
      </c>
      <c r="T123" s="95" t="s">
        <v>24</v>
      </c>
      <c r="U123" s="97" t="s">
        <v>26</v>
      </c>
      <c r="V123" s="97" t="s">
        <v>26</v>
      </c>
      <c r="W123" s="97" t="s">
        <v>26</v>
      </c>
      <c r="X123" s="97" t="s">
        <v>26</v>
      </c>
      <c r="Y123" s="97" t="s">
        <v>26</v>
      </c>
      <c r="Z123" s="95" t="s">
        <v>24</v>
      </c>
      <c r="AA123" s="95" t="s">
        <v>24</v>
      </c>
      <c r="AB123" s="97" t="s">
        <v>26</v>
      </c>
      <c r="AC123" s="97" t="s">
        <v>26</v>
      </c>
      <c r="AD123" s="97" t="s">
        <v>26</v>
      </c>
      <c r="AE123" s="97" t="s">
        <v>26</v>
      </c>
      <c r="AF123" s="97" t="s">
        <v>26</v>
      </c>
      <c r="AG123" s="95" t="s">
        <v>24</v>
      </c>
      <c r="AH123" s="95" t="s">
        <v>24</v>
      </c>
      <c r="AI123" s="98">
        <v>31</v>
      </c>
      <c r="AJ123" s="98">
        <f t="shared" si="8"/>
        <v>19</v>
      </c>
      <c r="AK123" s="98">
        <v>10</v>
      </c>
      <c r="AL123" s="98">
        <v>2</v>
      </c>
      <c r="AM123" s="98"/>
      <c r="AN123" s="98"/>
      <c r="AO123" s="98"/>
      <c r="AP123" s="98"/>
      <c r="AQ123" s="98"/>
      <c r="AR123" s="98"/>
      <c r="AS123" s="98"/>
      <c r="AT123" s="98">
        <f t="shared" si="9"/>
        <v>0</v>
      </c>
      <c r="AU123" s="99"/>
    </row>
    <row r="124" customFormat="1" ht="34" customHeight="1" spans="1:47">
      <c r="A124" s="92">
        <f t="shared" si="5"/>
        <v>121</v>
      </c>
      <c r="B124" s="93" t="s">
        <v>201</v>
      </c>
      <c r="C124" s="109" t="s">
        <v>370</v>
      </c>
      <c r="D124" s="95" t="s">
        <v>23</v>
      </c>
      <c r="E124" s="95" t="s">
        <v>23</v>
      </c>
      <c r="F124" s="95" t="s">
        <v>24</v>
      </c>
      <c r="G124" s="95" t="s">
        <v>24</v>
      </c>
      <c r="H124" s="95" t="s">
        <v>24</v>
      </c>
      <c r="I124" s="97" t="s">
        <v>26</v>
      </c>
      <c r="J124" s="97" t="s">
        <v>26</v>
      </c>
      <c r="K124" s="97" t="s">
        <v>26</v>
      </c>
      <c r="L124" s="97" t="s">
        <v>26</v>
      </c>
      <c r="M124" s="95" t="s">
        <v>24</v>
      </c>
      <c r="N124" s="97" t="s">
        <v>26</v>
      </c>
      <c r="O124" s="97" t="s">
        <v>26</v>
      </c>
      <c r="P124" s="97" t="s">
        <v>26</v>
      </c>
      <c r="Q124" s="97" t="s">
        <v>26</v>
      </c>
      <c r="R124" s="97" t="s">
        <v>26</v>
      </c>
      <c r="S124" s="95" t="s">
        <v>24</v>
      </c>
      <c r="T124" s="95" t="s">
        <v>24</v>
      </c>
      <c r="U124" s="97" t="s">
        <v>26</v>
      </c>
      <c r="V124" s="97" t="s">
        <v>26</v>
      </c>
      <c r="W124" s="97" t="s">
        <v>26</v>
      </c>
      <c r="X124" s="97" t="s">
        <v>26</v>
      </c>
      <c r="Y124" s="97" t="s">
        <v>26</v>
      </c>
      <c r="Z124" s="95" t="s">
        <v>24</v>
      </c>
      <c r="AA124" s="95" t="s">
        <v>24</v>
      </c>
      <c r="AB124" s="97" t="s">
        <v>26</v>
      </c>
      <c r="AC124" s="100" t="s">
        <v>52</v>
      </c>
      <c r="AD124" s="97" t="s">
        <v>26</v>
      </c>
      <c r="AE124" s="97" t="s">
        <v>26</v>
      </c>
      <c r="AF124" s="97" t="s">
        <v>26</v>
      </c>
      <c r="AG124" s="95" t="s">
        <v>24</v>
      </c>
      <c r="AH124" s="95" t="s">
        <v>24</v>
      </c>
      <c r="AI124" s="98">
        <v>31</v>
      </c>
      <c r="AJ124" s="98">
        <f t="shared" si="8"/>
        <v>18.94</v>
      </c>
      <c r="AK124" s="98">
        <v>10</v>
      </c>
      <c r="AL124" s="98">
        <v>2</v>
      </c>
      <c r="AM124" s="98">
        <v>0.06</v>
      </c>
      <c r="AN124" s="98"/>
      <c r="AO124" s="98"/>
      <c r="AP124" s="98"/>
      <c r="AQ124" s="98"/>
      <c r="AR124" s="98"/>
      <c r="AS124" s="98"/>
      <c r="AT124" s="98">
        <f t="shared" si="9"/>
        <v>0.06</v>
      </c>
      <c r="AU124" s="99"/>
    </row>
    <row r="125" customFormat="1" ht="34" customHeight="1" spans="1:47">
      <c r="A125" s="92">
        <f t="shared" si="5"/>
        <v>122</v>
      </c>
      <c r="B125" s="93" t="s">
        <v>203</v>
      </c>
      <c r="C125" s="109" t="s">
        <v>370</v>
      </c>
      <c r="D125" s="95" t="s">
        <v>23</v>
      </c>
      <c r="E125" s="95" t="s">
        <v>23</v>
      </c>
      <c r="F125" s="95" t="s">
        <v>24</v>
      </c>
      <c r="G125" s="95" t="s">
        <v>24</v>
      </c>
      <c r="H125" s="95" t="s">
        <v>24</v>
      </c>
      <c r="I125" s="97" t="s">
        <v>26</v>
      </c>
      <c r="J125" s="97" t="s">
        <v>26</v>
      </c>
      <c r="K125" s="97" t="s">
        <v>26</v>
      </c>
      <c r="L125" s="97" t="s">
        <v>26</v>
      </c>
      <c r="M125" s="95" t="s">
        <v>24</v>
      </c>
      <c r="N125" s="97" t="s">
        <v>26</v>
      </c>
      <c r="O125" s="97" t="s">
        <v>26</v>
      </c>
      <c r="P125" s="97" t="s">
        <v>26</v>
      </c>
      <c r="Q125" s="97" t="s">
        <v>26</v>
      </c>
      <c r="R125" s="97" t="s">
        <v>26</v>
      </c>
      <c r="S125" s="95" t="s">
        <v>24</v>
      </c>
      <c r="T125" s="95" t="s">
        <v>24</v>
      </c>
      <c r="U125" s="97" t="s">
        <v>26</v>
      </c>
      <c r="V125" s="97" t="s">
        <v>26</v>
      </c>
      <c r="W125" s="97" t="s">
        <v>26</v>
      </c>
      <c r="X125" s="97" t="s">
        <v>26</v>
      </c>
      <c r="Y125" s="97" t="s">
        <v>26</v>
      </c>
      <c r="Z125" s="95" t="s">
        <v>24</v>
      </c>
      <c r="AA125" s="95" t="s">
        <v>24</v>
      </c>
      <c r="AB125" s="108" t="s">
        <v>372</v>
      </c>
      <c r="AC125" s="108" t="s">
        <v>372</v>
      </c>
      <c r="AD125" s="108" t="s">
        <v>372</v>
      </c>
      <c r="AE125" s="108" t="s">
        <v>372</v>
      </c>
      <c r="AF125" s="108" t="s">
        <v>372</v>
      </c>
      <c r="AG125" s="95" t="s">
        <v>24</v>
      </c>
      <c r="AH125" s="95" t="s">
        <v>24</v>
      </c>
      <c r="AI125" s="98">
        <v>31</v>
      </c>
      <c r="AJ125" s="98">
        <f t="shared" si="8"/>
        <v>19</v>
      </c>
      <c r="AK125" s="98">
        <v>10</v>
      </c>
      <c r="AL125" s="98">
        <v>2</v>
      </c>
      <c r="AM125" s="98"/>
      <c r="AN125" s="98"/>
      <c r="AO125" s="98"/>
      <c r="AP125" s="98"/>
      <c r="AQ125" s="98"/>
      <c r="AR125" s="98"/>
      <c r="AS125" s="98"/>
      <c r="AT125" s="98">
        <f t="shared" si="9"/>
        <v>0</v>
      </c>
      <c r="AU125" s="99"/>
    </row>
    <row r="126" customFormat="1" ht="34" customHeight="1" spans="1:47">
      <c r="A126" s="92">
        <f t="shared" si="5"/>
        <v>123</v>
      </c>
      <c r="B126" s="93" t="s">
        <v>205</v>
      </c>
      <c r="C126" s="109" t="s">
        <v>370</v>
      </c>
      <c r="D126" s="95" t="s">
        <v>23</v>
      </c>
      <c r="E126" s="95" t="s">
        <v>23</v>
      </c>
      <c r="F126" s="95" t="s">
        <v>24</v>
      </c>
      <c r="G126" s="95" t="s">
        <v>24</v>
      </c>
      <c r="H126" s="95" t="s">
        <v>24</v>
      </c>
      <c r="I126" s="108" t="s">
        <v>372</v>
      </c>
      <c r="J126" s="108" t="s">
        <v>372</v>
      </c>
      <c r="K126" s="108" t="s">
        <v>372</v>
      </c>
      <c r="L126" s="108" t="s">
        <v>372</v>
      </c>
      <c r="M126" s="95" t="s">
        <v>24</v>
      </c>
      <c r="N126" s="108" t="s">
        <v>372</v>
      </c>
      <c r="O126" s="108" t="s">
        <v>372</v>
      </c>
      <c r="P126" s="108" t="s">
        <v>372</v>
      </c>
      <c r="Q126" s="108" t="s">
        <v>372</v>
      </c>
      <c r="R126" s="108" t="s">
        <v>372</v>
      </c>
      <c r="S126" s="95" t="s">
        <v>24</v>
      </c>
      <c r="T126" s="95" t="s">
        <v>24</v>
      </c>
      <c r="U126" s="108" t="s">
        <v>372</v>
      </c>
      <c r="V126" s="108" t="s">
        <v>372</v>
      </c>
      <c r="W126" s="108" t="s">
        <v>372</v>
      </c>
      <c r="X126" s="108" t="s">
        <v>372</v>
      </c>
      <c r="Y126" s="108" t="s">
        <v>372</v>
      </c>
      <c r="Z126" s="95" t="s">
        <v>24</v>
      </c>
      <c r="AA126" s="95" t="s">
        <v>24</v>
      </c>
      <c r="AB126" s="97" t="s">
        <v>26</v>
      </c>
      <c r="AC126" s="97" t="s">
        <v>26</v>
      </c>
      <c r="AD126" s="97" t="s">
        <v>26</v>
      </c>
      <c r="AE126" s="97" t="s">
        <v>26</v>
      </c>
      <c r="AF126" s="97" t="s">
        <v>26</v>
      </c>
      <c r="AG126" s="95" t="s">
        <v>24</v>
      </c>
      <c r="AH126" s="95" t="s">
        <v>24</v>
      </c>
      <c r="AI126" s="98">
        <v>31</v>
      </c>
      <c r="AJ126" s="98">
        <f t="shared" si="8"/>
        <v>19</v>
      </c>
      <c r="AK126" s="98">
        <v>10</v>
      </c>
      <c r="AL126" s="98">
        <v>2</v>
      </c>
      <c r="AM126" s="98"/>
      <c r="AN126" s="98"/>
      <c r="AO126" s="98"/>
      <c r="AP126" s="98"/>
      <c r="AQ126" s="98"/>
      <c r="AR126" s="98"/>
      <c r="AS126" s="98"/>
      <c r="AT126" s="98">
        <f t="shared" si="9"/>
        <v>0</v>
      </c>
      <c r="AU126" s="99"/>
    </row>
    <row r="127" customFormat="1" ht="34" customHeight="1" spans="1:47">
      <c r="A127" s="92">
        <f t="shared" si="5"/>
        <v>124</v>
      </c>
      <c r="B127" s="93" t="s">
        <v>373</v>
      </c>
      <c r="C127" s="109" t="s">
        <v>370</v>
      </c>
      <c r="D127" s="95" t="s">
        <v>23</v>
      </c>
      <c r="E127" s="95" t="s">
        <v>23</v>
      </c>
      <c r="F127" s="95" t="s">
        <v>24</v>
      </c>
      <c r="G127" s="95" t="s">
        <v>24</v>
      </c>
      <c r="H127" s="95" t="s">
        <v>24</v>
      </c>
      <c r="I127" s="97" t="s">
        <v>26</v>
      </c>
      <c r="J127" s="97" t="s">
        <v>26</v>
      </c>
      <c r="K127" s="97" t="s">
        <v>26</v>
      </c>
      <c r="L127" s="97" t="s">
        <v>26</v>
      </c>
      <c r="M127" s="95" t="s">
        <v>24</v>
      </c>
      <c r="N127" s="97" t="s">
        <v>26</v>
      </c>
      <c r="O127" s="97" t="s">
        <v>26</v>
      </c>
      <c r="P127" s="97" t="s">
        <v>26</v>
      </c>
      <c r="Q127" s="97" t="s">
        <v>26</v>
      </c>
      <c r="R127" s="97" t="s">
        <v>26</v>
      </c>
      <c r="S127" s="95" t="s">
        <v>24</v>
      </c>
      <c r="T127" s="95" t="s">
        <v>24</v>
      </c>
      <c r="U127" s="97" t="s">
        <v>26</v>
      </c>
      <c r="V127" s="97" t="s">
        <v>26</v>
      </c>
      <c r="W127" s="97" t="s">
        <v>26</v>
      </c>
      <c r="X127" s="97" t="s">
        <v>26</v>
      </c>
      <c r="Y127" s="97" t="s">
        <v>26</v>
      </c>
      <c r="Z127" s="95" t="s">
        <v>24</v>
      </c>
      <c r="AA127" s="95" t="s">
        <v>24</v>
      </c>
      <c r="AB127" s="97" t="s">
        <v>26</v>
      </c>
      <c r="AC127" s="97" t="s">
        <v>26</v>
      </c>
      <c r="AD127" s="97" t="s">
        <v>26</v>
      </c>
      <c r="AE127" s="97" t="s">
        <v>26</v>
      </c>
      <c r="AF127" s="97" t="s">
        <v>26</v>
      </c>
      <c r="AG127" s="95" t="s">
        <v>24</v>
      </c>
      <c r="AH127" s="95" t="s">
        <v>24</v>
      </c>
      <c r="AI127" s="98">
        <v>31</v>
      </c>
      <c r="AJ127" s="98">
        <f t="shared" si="8"/>
        <v>19</v>
      </c>
      <c r="AK127" s="98">
        <v>10</v>
      </c>
      <c r="AL127" s="98">
        <v>2</v>
      </c>
      <c r="AM127" s="98"/>
      <c r="AN127" s="98"/>
      <c r="AO127" s="98"/>
      <c r="AP127" s="98"/>
      <c r="AQ127" s="98"/>
      <c r="AR127" s="98"/>
      <c r="AS127" s="98"/>
      <c r="AT127" s="98">
        <f t="shared" si="9"/>
        <v>0</v>
      </c>
      <c r="AU127" s="99"/>
    </row>
    <row r="128" customFormat="1" ht="34" customHeight="1" spans="1:47">
      <c r="A128" s="92">
        <f t="shared" si="5"/>
        <v>125</v>
      </c>
      <c r="B128" s="93" t="s">
        <v>374</v>
      </c>
      <c r="C128" s="109" t="s">
        <v>370</v>
      </c>
      <c r="D128" s="95" t="s">
        <v>23</v>
      </c>
      <c r="E128" s="95" t="s">
        <v>23</v>
      </c>
      <c r="F128" s="95" t="s">
        <v>24</v>
      </c>
      <c r="G128" s="95" t="s">
        <v>24</v>
      </c>
      <c r="H128" s="95" t="s">
        <v>24</v>
      </c>
      <c r="I128" s="97" t="s">
        <v>26</v>
      </c>
      <c r="J128" s="97" t="s">
        <v>26</v>
      </c>
      <c r="K128" s="97" t="s">
        <v>26</v>
      </c>
      <c r="L128" s="97" t="s">
        <v>26</v>
      </c>
      <c r="M128" s="95" t="s">
        <v>24</v>
      </c>
      <c r="N128" s="97" t="s">
        <v>26</v>
      </c>
      <c r="O128" s="97" t="s">
        <v>26</v>
      </c>
      <c r="P128" s="97" t="s">
        <v>26</v>
      </c>
      <c r="Q128" s="97" t="s">
        <v>26</v>
      </c>
      <c r="R128" s="97" t="s">
        <v>26</v>
      </c>
      <c r="S128" s="95" t="s">
        <v>24</v>
      </c>
      <c r="T128" s="95" t="s">
        <v>24</v>
      </c>
      <c r="U128" s="97" t="s">
        <v>26</v>
      </c>
      <c r="V128" s="97" t="s">
        <v>26</v>
      </c>
      <c r="W128" s="97" t="s">
        <v>26</v>
      </c>
      <c r="X128" s="100" t="s">
        <v>25</v>
      </c>
      <c r="Y128" s="100" t="s">
        <v>25</v>
      </c>
      <c r="Z128" s="95" t="s">
        <v>24</v>
      </c>
      <c r="AA128" s="95" t="s">
        <v>24</v>
      </c>
      <c r="AB128" s="100" t="s">
        <v>25</v>
      </c>
      <c r="AC128" s="100" t="s">
        <v>25</v>
      </c>
      <c r="AD128" s="100" t="s">
        <v>25</v>
      </c>
      <c r="AE128" s="100" t="s">
        <v>25</v>
      </c>
      <c r="AF128" s="100" t="s">
        <v>25</v>
      </c>
      <c r="AG128" s="95" t="s">
        <v>24</v>
      </c>
      <c r="AH128" s="95" t="s">
        <v>24</v>
      </c>
      <c r="AI128" s="98">
        <v>31</v>
      </c>
      <c r="AJ128" s="98">
        <f t="shared" si="8"/>
        <v>12</v>
      </c>
      <c r="AK128" s="98">
        <v>10</v>
      </c>
      <c r="AL128" s="98">
        <v>2</v>
      </c>
      <c r="AM128" s="98">
        <v>7</v>
      </c>
      <c r="AN128" s="98"/>
      <c r="AO128" s="98"/>
      <c r="AP128" s="98"/>
      <c r="AQ128" s="98"/>
      <c r="AR128" s="98"/>
      <c r="AS128" s="98"/>
      <c r="AT128" s="98">
        <f t="shared" si="9"/>
        <v>7</v>
      </c>
      <c r="AU128" s="99"/>
    </row>
    <row r="129" customFormat="1" ht="34" customHeight="1" spans="1:47">
      <c r="A129" s="92">
        <f t="shared" si="5"/>
        <v>126</v>
      </c>
      <c r="B129" s="101" t="s">
        <v>375</v>
      </c>
      <c r="C129" s="109" t="s">
        <v>370</v>
      </c>
      <c r="D129" s="102" t="s">
        <v>34</v>
      </c>
      <c r="E129" s="102" t="s">
        <v>34</v>
      </c>
      <c r="F129" s="102" t="s">
        <v>34</v>
      </c>
      <c r="G129" s="102" t="s">
        <v>34</v>
      </c>
      <c r="H129" s="102" t="s">
        <v>34</v>
      </c>
      <c r="I129" s="102" t="s">
        <v>34</v>
      </c>
      <c r="J129" s="97" t="s">
        <v>26</v>
      </c>
      <c r="K129" s="97" t="s">
        <v>26</v>
      </c>
      <c r="L129" s="97" t="s">
        <v>26</v>
      </c>
      <c r="M129" s="95" t="s">
        <v>24</v>
      </c>
      <c r="N129" s="97" t="s">
        <v>26</v>
      </c>
      <c r="O129" s="97" t="s">
        <v>26</v>
      </c>
      <c r="P129" s="97" t="s">
        <v>26</v>
      </c>
      <c r="Q129" s="97" t="s">
        <v>26</v>
      </c>
      <c r="R129" s="100" t="s">
        <v>351</v>
      </c>
      <c r="S129" s="95" t="s">
        <v>24</v>
      </c>
      <c r="T129" s="95" t="s">
        <v>24</v>
      </c>
      <c r="U129" s="97" t="s">
        <v>26</v>
      </c>
      <c r="V129" s="97" t="s">
        <v>26</v>
      </c>
      <c r="W129" s="97" t="s">
        <v>26</v>
      </c>
      <c r="X129" s="97" t="s">
        <v>26</v>
      </c>
      <c r="Y129" s="97" t="s">
        <v>26</v>
      </c>
      <c r="Z129" s="95" t="s">
        <v>24</v>
      </c>
      <c r="AA129" s="95" t="s">
        <v>24</v>
      </c>
      <c r="AB129" s="97" t="s">
        <v>26</v>
      </c>
      <c r="AC129" s="97" t="s">
        <v>26</v>
      </c>
      <c r="AD129" s="97" t="s">
        <v>26</v>
      </c>
      <c r="AE129" s="97" t="s">
        <v>26</v>
      </c>
      <c r="AF129" s="97" t="s">
        <v>26</v>
      </c>
      <c r="AG129" s="95" t="s">
        <v>24</v>
      </c>
      <c r="AH129" s="95" t="s">
        <v>24</v>
      </c>
      <c r="AI129" s="98">
        <v>31</v>
      </c>
      <c r="AJ129" s="98">
        <f t="shared" si="8"/>
        <v>17.44</v>
      </c>
      <c r="AK129" s="98">
        <v>10</v>
      </c>
      <c r="AL129" s="98">
        <v>0</v>
      </c>
      <c r="AM129" s="98">
        <v>3.56</v>
      </c>
      <c r="AN129" s="98"/>
      <c r="AO129" s="98"/>
      <c r="AP129" s="98"/>
      <c r="AQ129" s="98"/>
      <c r="AR129" s="98"/>
      <c r="AS129" s="98"/>
      <c r="AT129" s="98">
        <f t="shared" si="9"/>
        <v>3.56</v>
      </c>
      <c r="AU129" s="99" t="s">
        <v>376</v>
      </c>
    </row>
    <row r="130" customFormat="1" ht="34" customHeight="1" spans="1:47">
      <c r="A130" s="92">
        <f t="shared" si="5"/>
        <v>127</v>
      </c>
      <c r="B130" s="101" t="s">
        <v>377</v>
      </c>
      <c r="C130" s="109" t="s">
        <v>370</v>
      </c>
      <c r="D130" s="102" t="s">
        <v>34</v>
      </c>
      <c r="E130" s="102" t="s">
        <v>34</v>
      </c>
      <c r="F130" s="102" t="s">
        <v>34</v>
      </c>
      <c r="G130" s="102" t="s">
        <v>34</v>
      </c>
      <c r="H130" s="102" t="s">
        <v>34</v>
      </c>
      <c r="I130" s="102" t="s">
        <v>34</v>
      </c>
      <c r="J130" s="102" t="s">
        <v>34</v>
      </c>
      <c r="K130" s="102" t="s">
        <v>34</v>
      </c>
      <c r="L130" s="102" t="s">
        <v>34</v>
      </c>
      <c r="M130" s="102" t="s">
        <v>34</v>
      </c>
      <c r="N130" s="102" t="s">
        <v>34</v>
      </c>
      <c r="O130" s="102" t="s">
        <v>34</v>
      </c>
      <c r="P130" s="102" t="s">
        <v>34</v>
      </c>
      <c r="Q130" s="102" t="s">
        <v>34</v>
      </c>
      <c r="R130" s="102" t="s">
        <v>34</v>
      </c>
      <c r="S130" s="102" t="s">
        <v>34</v>
      </c>
      <c r="T130" s="102" t="s">
        <v>34</v>
      </c>
      <c r="U130" s="97" t="s">
        <v>26</v>
      </c>
      <c r="V130" s="97" t="s">
        <v>26</v>
      </c>
      <c r="W130" s="97" t="s">
        <v>26</v>
      </c>
      <c r="X130" s="97" t="s">
        <v>26</v>
      </c>
      <c r="Y130" s="97" t="s">
        <v>26</v>
      </c>
      <c r="Z130" s="95" t="s">
        <v>24</v>
      </c>
      <c r="AA130" s="95" t="s">
        <v>24</v>
      </c>
      <c r="AB130" s="97" t="s">
        <v>26</v>
      </c>
      <c r="AC130" s="97" t="s">
        <v>26</v>
      </c>
      <c r="AD130" s="97" t="s">
        <v>26</v>
      </c>
      <c r="AE130" s="97" t="s">
        <v>26</v>
      </c>
      <c r="AF130" s="97" t="s">
        <v>26</v>
      </c>
      <c r="AG130" s="95" t="s">
        <v>24</v>
      </c>
      <c r="AH130" s="95" t="s">
        <v>24</v>
      </c>
      <c r="AI130" s="98">
        <v>31</v>
      </c>
      <c r="AJ130" s="98">
        <f t="shared" si="8"/>
        <v>10</v>
      </c>
      <c r="AK130" s="98">
        <v>10</v>
      </c>
      <c r="AL130" s="98">
        <v>0</v>
      </c>
      <c r="AM130" s="98">
        <v>11</v>
      </c>
      <c r="AN130" s="98"/>
      <c r="AO130" s="98"/>
      <c r="AP130" s="98"/>
      <c r="AQ130" s="98"/>
      <c r="AR130" s="98"/>
      <c r="AS130" s="98"/>
      <c r="AT130" s="98">
        <f t="shared" si="9"/>
        <v>11</v>
      </c>
      <c r="AU130" s="99" t="s">
        <v>358</v>
      </c>
    </row>
    <row r="131" customFormat="1" ht="34" customHeight="1" spans="1:47">
      <c r="A131" s="92">
        <f t="shared" si="5"/>
        <v>128</v>
      </c>
      <c r="B131" s="93" t="s">
        <v>208</v>
      </c>
      <c r="C131" s="94" t="s">
        <v>378</v>
      </c>
      <c r="D131" s="95" t="s">
        <v>23</v>
      </c>
      <c r="E131" s="95" t="s">
        <v>23</v>
      </c>
      <c r="F131" s="95" t="s">
        <v>24</v>
      </c>
      <c r="G131" s="95" t="s">
        <v>24</v>
      </c>
      <c r="H131" s="95" t="s">
        <v>24</v>
      </c>
      <c r="I131" s="97" t="s">
        <v>26</v>
      </c>
      <c r="J131" s="97" t="s">
        <v>26</v>
      </c>
      <c r="K131" s="100" t="s">
        <v>321</v>
      </c>
      <c r="L131" s="97" t="s">
        <v>26</v>
      </c>
      <c r="M131" s="95" t="s">
        <v>24</v>
      </c>
      <c r="N131" s="97" t="s">
        <v>26</v>
      </c>
      <c r="O131" s="97" t="s">
        <v>26</v>
      </c>
      <c r="P131" s="97" t="s">
        <v>26</v>
      </c>
      <c r="Q131" s="97" t="s">
        <v>26</v>
      </c>
      <c r="R131" s="103" t="s">
        <v>309</v>
      </c>
      <c r="S131" s="95" t="s">
        <v>24</v>
      </c>
      <c r="T131" s="95" t="s">
        <v>24</v>
      </c>
      <c r="U131" s="97" t="s">
        <v>26</v>
      </c>
      <c r="V131" s="97" t="s">
        <v>26</v>
      </c>
      <c r="W131" s="97" t="s">
        <v>26</v>
      </c>
      <c r="X131" s="97" t="s">
        <v>26</v>
      </c>
      <c r="Y131" s="97" t="s">
        <v>26</v>
      </c>
      <c r="Z131" s="95" t="s">
        <v>24</v>
      </c>
      <c r="AA131" s="95" t="s">
        <v>24</v>
      </c>
      <c r="AB131" s="97" t="s">
        <v>26</v>
      </c>
      <c r="AC131" s="97" t="s">
        <v>26</v>
      </c>
      <c r="AD131" s="97" t="s">
        <v>26</v>
      </c>
      <c r="AE131" s="97" t="s">
        <v>26</v>
      </c>
      <c r="AF131" s="97" t="s">
        <v>26</v>
      </c>
      <c r="AG131" s="95" t="s">
        <v>24</v>
      </c>
      <c r="AH131" s="95" t="s">
        <v>24</v>
      </c>
      <c r="AI131" s="98">
        <v>31</v>
      </c>
      <c r="AJ131" s="98">
        <f t="shared" si="8"/>
        <v>17.56</v>
      </c>
      <c r="AK131" s="98">
        <v>10</v>
      </c>
      <c r="AL131" s="98">
        <v>2</v>
      </c>
      <c r="AM131" s="98">
        <v>1.44</v>
      </c>
      <c r="AN131" s="98">
        <v>1</v>
      </c>
      <c r="AO131" s="98"/>
      <c r="AP131" s="98"/>
      <c r="AQ131" s="98"/>
      <c r="AR131" s="98"/>
      <c r="AS131" s="98"/>
      <c r="AT131" s="98">
        <f t="shared" si="9"/>
        <v>0.44</v>
      </c>
      <c r="AU131" s="99" t="s">
        <v>310</v>
      </c>
    </row>
    <row r="132" customFormat="1" ht="34" customHeight="1" spans="1:47">
      <c r="A132" s="92">
        <f t="shared" si="5"/>
        <v>129</v>
      </c>
      <c r="B132" s="93" t="s">
        <v>210</v>
      </c>
      <c r="C132" s="94" t="s">
        <v>378</v>
      </c>
      <c r="D132" s="95" t="s">
        <v>23</v>
      </c>
      <c r="E132" s="95" t="s">
        <v>23</v>
      </c>
      <c r="F132" s="95" t="s">
        <v>24</v>
      </c>
      <c r="G132" s="95" t="s">
        <v>24</v>
      </c>
      <c r="H132" s="95" t="s">
        <v>24</v>
      </c>
      <c r="I132" s="97" t="s">
        <v>26</v>
      </c>
      <c r="J132" s="97" t="s">
        <v>26</v>
      </c>
      <c r="K132" s="97" t="s">
        <v>26</v>
      </c>
      <c r="L132" s="97" t="s">
        <v>26</v>
      </c>
      <c r="M132" s="95" t="s">
        <v>24</v>
      </c>
      <c r="N132" s="97" t="s">
        <v>26</v>
      </c>
      <c r="O132" s="97" t="s">
        <v>26</v>
      </c>
      <c r="P132" s="100" t="s">
        <v>124</v>
      </c>
      <c r="Q132" s="97" t="s">
        <v>26</v>
      </c>
      <c r="R132" s="97" t="s">
        <v>26</v>
      </c>
      <c r="S132" s="95" t="s">
        <v>24</v>
      </c>
      <c r="T132" s="95" t="s">
        <v>24</v>
      </c>
      <c r="U132" s="97" t="s">
        <v>26</v>
      </c>
      <c r="V132" s="97" t="s">
        <v>26</v>
      </c>
      <c r="W132" s="97" t="s">
        <v>26</v>
      </c>
      <c r="X132" s="103" t="s">
        <v>309</v>
      </c>
      <c r="Y132" s="97" t="s">
        <v>26</v>
      </c>
      <c r="Z132" s="95" t="s">
        <v>24</v>
      </c>
      <c r="AA132" s="95" t="s">
        <v>24</v>
      </c>
      <c r="AB132" s="97" t="s">
        <v>26</v>
      </c>
      <c r="AC132" s="97" t="s">
        <v>26</v>
      </c>
      <c r="AD132" s="97" t="s">
        <v>26</v>
      </c>
      <c r="AE132" s="97" t="s">
        <v>26</v>
      </c>
      <c r="AF132" s="100" t="s">
        <v>25</v>
      </c>
      <c r="AG132" s="95" t="s">
        <v>24</v>
      </c>
      <c r="AH132" s="95" t="s">
        <v>24</v>
      </c>
      <c r="AI132" s="98">
        <v>31</v>
      </c>
      <c r="AJ132" s="98">
        <f t="shared" si="8"/>
        <v>16.62</v>
      </c>
      <c r="AK132" s="98">
        <v>10</v>
      </c>
      <c r="AL132" s="98">
        <v>2</v>
      </c>
      <c r="AM132" s="98">
        <v>2.38</v>
      </c>
      <c r="AN132" s="98">
        <v>1</v>
      </c>
      <c r="AO132" s="98"/>
      <c r="AP132" s="98"/>
      <c r="AQ132" s="98"/>
      <c r="AR132" s="98"/>
      <c r="AS132" s="98"/>
      <c r="AT132" s="98">
        <f t="shared" si="9"/>
        <v>1.38</v>
      </c>
      <c r="AU132" s="99" t="s">
        <v>310</v>
      </c>
    </row>
    <row r="133" customFormat="1" ht="34" customHeight="1" spans="1:47">
      <c r="A133" s="92">
        <f t="shared" ref="A133:A200" si="10">ROW()-3</f>
        <v>130</v>
      </c>
      <c r="B133" s="93" t="s">
        <v>212</v>
      </c>
      <c r="C133" s="94" t="s">
        <v>378</v>
      </c>
      <c r="D133" s="95" t="s">
        <v>23</v>
      </c>
      <c r="E133" s="95" t="s">
        <v>23</v>
      </c>
      <c r="F133" s="95" t="s">
        <v>24</v>
      </c>
      <c r="G133" s="95" t="s">
        <v>24</v>
      </c>
      <c r="H133" s="95" t="s">
        <v>24</v>
      </c>
      <c r="I133" s="97" t="s">
        <v>26</v>
      </c>
      <c r="J133" s="97" t="s">
        <v>26</v>
      </c>
      <c r="K133" s="97" t="s">
        <v>26</v>
      </c>
      <c r="L133" s="100" t="s">
        <v>25</v>
      </c>
      <c r="M133" s="95" t="s">
        <v>24</v>
      </c>
      <c r="N133" s="100" t="s">
        <v>351</v>
      </c>
      <c r="O133" s="100" t="s">
        <v>186</v>
      </c>
      <c r="P133" s="100" t="s">
        <v>186</v>
      </c>
      <c r="Q133" s="100" t="s">
        <v>186</v>
      </c>
      <c r="R133" s="97" t="s">
        <v>26</v>
      </c>
      <c r="S133" s="95" t="s">
        <v>24</v>
      </c>
      <c r="T133" s="95" t="s">
        <v>24</v>
      </c>
      <c r="U133" s="97" t="s">
        <v>26</v>
      </c>
      <c r="V133" s="97" t="s">
        <v>26</v>
      </c>
      <c r="W133" s="100" t="s">
        <v>52</v>
      </c>
      <c r="X133" s="97" t="s">
        <v>26</v>
      </c>
      <c r="Y133" s="97" t="s">
        <v>26</v>
      </c>
      <c r="Z133" s="95" t="s">
        <v>24</v>
      </c>
      <c r="AA133" s="95" t="s">
        <v>24</v>
      </c>
      <c r="AB133" s="97" t="s">
        <v>26</v>
      </c>
      <c r="AC133" s="100" t="s">
        <v>138</v>
      </c>
      <c r="AD133" s="97" t="s">
        <v>26</v>
      </c>
      <c r="AE133" s="97" t="s">
        <v>26</v>
      </c>
      <c r="AF133" s="97" t="s">
        <v>26</v>
      </c>
      <c r="AG133" s="95" t="s">
        <v>24</v>
      </c>
      <c r="AH133" s="95" t="s">
        <v>24</v>
      </c>
      <c r="AI133" s="98">
        <v>31</v>
      </c>
      <c r="AJ133" s="98">
        <f t="shared" si="8"/>
        <v>16.81</v>
      </c>
      <c r="AK133" s="98">
        <v>10</v>
      </c>
      <c r="AL133" s="98">
        <v>2</v>
      </c>
      <c r="AM133" s="98">
        <v>2.19</v>
      </c>
      <c r="AN133" s="98"/>
      <c r="AO133" s="98"/>
      <c r="AP133" s="98"/>
      <c r="AQ133" s="98"/>
      <c r="AR133" s="98"/>
      <c r="AS133" s="98"/>
      <c r="AT133" s="98">
        <f t="shared" si="9"/>
        <v>2.19</v>
      </c>
      <c r="AU133" s="99"/>
    </row>
    <row r="134" customFormat="1" ht="34" customHeight="1" spans="1:47">
      <c r="A134" s="92">
        <f t="shared" si="10"/>
        <v>131</v>
      </c>
      <c r="B134" s="93" t="s">
        <v>215</v>
      </c>
      <c r="C134" s="94" t="s">
        <v>378</v>
      </c>
      <c r="D134" s="95" t="s">
        <v>23</v>
      </c>
      <c r="E134" s="95" t="s">
        <v>23</v>
      </c>
      <c r="F134" s="95" t="s">
        <v>24</v>
      </c>
      <c r="G134" s="95" t="s">
        <v>24</v>
      </c>
      <c r="H134" s="95" t="s">
        <v>24</v>
      </c>
      <c r="I134" s="97" t="s">
        <v>26</v>
      </c>
      <c r="J134" s="97" t="s">
        <v>26</v>
      </c>
      <c r="K134" s="97" t="s">
        <v>26</v>
      </c>
      <c r="L134" s="97" t="s">
        <v>26</v>
      </c>
      <c r="M134" s="95" t="s">
        <v>24</v>
      </c>
      <c r="N134" s="97" t="s">
        <v>26</v>
      </c>
      <c r="O134" s="97" t="s">
        <v>26</v>
      </c>
      <c r="P134" s="97" t="s">
        <v>26</v>
      </c>
      <c r="Q134" s="97" t="s">
        <v>26</v>
      </c>
      <c r="R134" s="97" t="s">
        <v>26</v>
      </c>
      <c r="S134" s="95" t="s">
        <v>24</v>
      </c>
      <c r="T134" s="95" t="s">
        <v>24</v>
      </c>
      <c r="U134" s="97" t="s">
        <v>26</v>
      </c>
      <c r="V134" s="97" t="s">
        <v>26</v>
      </c>
      <c r="W134" s="97" t="s">
        <v>26</v>
      </c>
      <c r="X134" s="97" t="s">
        <v>26</v>
      </c>
      <c r="Y134" s="97" t="s">
        <v>26</v>
      </c>
      <c r="Z134" s="95" t="s">
        <v>24</v>
      </c>
      <c r="AA134" s="95" t="s">
        <v>24</v>
      </c>
      <c r="AB134" s="97" t="s">
        <v>26</v>
      </c>
      <c r="AC134" s="97" t="s">
        <v>26</v>
      </c>
      <c r="AD134" s="97" t="s">
        <v>26</v>
      </c>
      <c r="AE134" s="100" t="s">
        <v>25</v>
      </c>
      <c r="AF134" s="97" t="s">
        <v>26</v>
      </c>
      <c r="AG134" s="95" t="s">
        <v>24</v>
      </c>
      <c r="AH134" s="95" t="s">
        <v>24</v>
      </c>
      <c r="AI134" s="98">
        <v>31</v>
      </c>
      <c r="AJ134" s="98">
        <f t="shared" si="8"/>
        <v>18</v>
      </c>
      <c r="AK134" s="98">
        <v>10</v>
      </c>
      <c r="AL134" s="98">
        <v>2</v>
      </c>
      <c r="AM134" s="98">
        <v>1</v>
      </c>
      <c r="AN134" s="98"/>
      <c r="AO134" s="98"/>
      <c r="AP134" s="98"/>
      <c r="AQ134" s="98"/>
      <c r="AR134" s="98"/>
      <c r="AS134" s="98"/>
      <c r="AT134" s="98">
        <f t="shared" si="9"/>
        <v>1</v>
      </c>
      <c r="AU134" s="99"/>
    </row>
    <row r="135" customFormat="1" ht="33" customHeight="1" spans="1:47">
      <c r="A135" s="92">
        <f t="shared" si="10"/>
        <v>132</v>
      </c>
      <c r="B135" s="93" t="s">
        <v>216</v>
      </c>
      <c r="C135" s="94" t="s">
        <v>378</v>
      </c>
      <c r="D135" s="95" t="s">
        <v>23</v>
      </c>
      <c r="E135" s="95" t="s">
        <v>23</v>
      </c>
      <c r="F135" s="95" t="s">
        <v>24</v>
      </c>
      <c r="G135" s="95" t="s">
        <v>24</v>
      </c>
      <c r="H135" s="95" t="s">
        <v>24</v>
      </c>
      <c r="I135" s="97" t="s">
        <v>26</v>
      </c>
      <c r="J135" s="97" t="s">
        <v>26</v>
      </c>
      <c r="K135" s="97" t="s">
        <v>26</v>
      </c>
      <c r="L135" s="97" t="s">
        <v>26</v>
      </c>
      <c r="M135" s="95" t="s">
        <v>24</v>
      </c>
      <c r="N135" s="97" t="s">
        <v>26</v>
      </c>
      <c r="O135" s="97" t="s">
        <v>26</v>
      </c>
      <c r="P135" s="97" t="s">
        <v>26</v>
      </c>
      <c r="Q135" s="97" t="s">
        <v>26</v>
      </c>
      <c r="R135" s="97" t="s">
        <v>26</v>
      </c>
      <c r="S135" s="95" t="s">
        <v>24</v>
      </c>
      <c r="T135" s="95" t="s">
        <v>24</v>
      </c>
      <c r="U135" s="97" t="s">
        <v>26</v>
      </c>
      <c r="V135" s="97" t="s">
        <v>26</v>
      </c>
      <c r="W135" s="97" t="s">
        <v>26</v>
      </c>
      <c r="X135" s="97" t="s">
        <v>26</v>
      </c>
      <c r="Y135" s="97" t="s">
        <v>26</v>
      </c>
      <c r="Z135" s="95" t="s">
        <v>24</v>
      </c>
      <c r="AA135" s="95" t="s">
        <v>24</v>
      </c>
      <c r="AB135" s="97" t="s">
        <v>26</v>
      </c>
      <c r="AC135" s="97" t="s">
        <v>26</v>
      </c>
      <c r="AD135" s="97" t="s">
        <v>26</v>
      </c>
      <c r="AE135" s="97" t="s">
        <v>26</v>
      </c>
      <c r="AF135" s="97" t="s">
        <v>26</v>
      </c>
      <c r="AG135" s="95" t="s">
        <v>24</v>
      </c>
      <c r="AH135" s="95" t="s">
        <v>24</v>
      </c>
      <c r="AI135" s="98">
        <v>31</v>
      </c>
      <c r="AJ135" s="98">
        <f t="shared" si="8"/>
        <v>19</v>
      </c>
      <c r="AK135" s="98">
        <v>10</v>
      </c>
      <c r="AL135" s="98">
        <v>2</v>
      </c>
      <c r="AM135" s="98"/>
      <c r="AN135" s="98"/>
      <c r="AO135" s="98"/>
      <c r="AP135" s="98"/>
      <c r="AQ135" s="98"/>
      <c r="AR135" s="98"/>
      <c r="AS135" s="98"/>
      <c r="AT135" s="98">
        <f t="shared" si="9"/>
        <v>0</v>
      </c>
      <c r="AU135" s="99"/>
    </row>
    <row r="136" customFormat="1" ht="34" customHeight="1" spans="1:47">
      <c r="A136" s="92">
        <f t="shared" si="10"/>
        <v>133</v>
      </c>
      <c r="B136" s="93" t="s">
        <v>218</v>
      </c>
      <c r="C136" s="94" t="s">
        <v>378</v>
      </c>
      <c r="D136" s="95" t="s">
        <v>23</v>
      </c>
      <c r="E136" s="95" t="s">
        <v>23</v>
      </c>
      <c r="F136" s="95" t="s">
        <v>24</v>
      </c>
      <c r="G136" s="95" t="s">
        <v>24</v>
      </c>
      <c r="H136" s="95" t="s">
        <v>24</v>
      </c>
      <c r="I136" s="97" t="s">
        <v>26</v>
      </c>
      <c r="J136" s="97" t="s">
        <v>26</v>
      </c>
      <c r="K136" s="97" t="s">
        <v>26</v>
      </c>
      <c r="L136" s="97" t="s">
        <v>26</v>
      </c>
      <c r="M136" s="95" t="s">
        <v>24</v>
      </c>
      <c r="N136" s="97" t="s">
        <v>26</v>
      </c>
      <c r="O136" s="97" t="s">
        <v>26</v>
      </c>
      <c r="P136" s="97" t="s">
        <v>26</v>
      </c>
      <c r="Q136" s="97" t="s">
        <v>26</v>
      </c>
      <c r="R136" s="100" t="s">
        <v>379</v>
      </c>
      <c r="S136" s="95" t="s">
        <v>24</v>
      </c>
      <c r="T136" s="95" t="s">
        <v>24</v>
      </c>
      <c r="U136" s="97" t="s">
        <v>26</v>
      </c>
      <c r="V136" s="97" t="s">
        <v>26</v>
      </c>
      <c r="W136" s="97" t="s">
        <v>26</v>
      </c>
      <c r="X136" s="97" t="s">
        <v>26</v>
      </c>
      <c r="Y136" s="97" t="s">
        <v>26</v>
      </c>
      <c r="Z136" s="95" t="s">
        <v>24</v>
      </c>
      <c r="AA136" s="95" t="s">
        <v>24</v>
      </c>
      <c r="AB136" s="97" t="s">
        <v>26</v>
      </c>
      <c r="AC136" s="97" t="s">
        <v>26</v>
      </c>
      <c r="AD136" s="97" t="s">
        <v>26</v>
      </c>
      <c r="AE136" s="97" t="s">
        <v>26</v>
      </c>
      <c r="AF136" s="97" t="s">
        <v>26</v>
      </c>
      <c r="AG136" s="95" t="s">
        <v>24</v>
      </c>
      <c r="AH136" s="95" t="s">
        <v>24</v>
      </c>
      <c r="AI136" s="98">
        <v>31</v>
      </c>
      <c r="AJ136" s="98">
        <f t="shared" si="8"/>
        <v>18.65</v>
      </c>
      <c r="AK136" s="98">
        <v>10</v>
      </c>
      <c r="AL136" s="98">
        <v>2</v>
      </c>
      <c r="AM136" s="98">
        <v>0.35</v>
      </c>
      <c r="AN136" s="98"/>
      <c r="AO136" s="98"/>
      <c r="AP136" s="98"/>
      <c r="AQ136" s="98"/>
      <c r="AR136" s="98"/>
      <c r="AS136" s="98"/>
      <c r="AT136" s="98">
        <f t="shared" si="9"/>
        <v>0.35</v>
      </c>
      <c r="AU136" s="99"/>
    </row>
    <row r="137" customFormat="1" ht="34" customHeight="1" spans="1:47">
      <c r="A137" s="92">
        <f t="shared" si="10"/>
        <v>134</v>
      </c>
      <c r="B137" s="93" t="s">
        <v>220</v>
      </c>
      <c r="C137" s="94" t="s">
        <v>378</v>
      </c>
      <c r="D137" s="95" t="s">
        <v>23</v>
      </c>
      <c r="E137" s="95" t="s">
        <v>23</v>
      </c>
      <c r="F137" s="95" t="s">
        <v>24</v>
      </c>
      <c r="G137" s="95" t="s">
        <v>24</v>
      </c>
      <c r="H137" s="95" t="s">
        <v>24</v>
      </c>
      <c r="I137" s="97" t="s">
        <v>26</v>
      </c>
      <c r="J137" s="97" t="s">
        <v>26</v>
      </c>
      <c r="K137" s="97" t="s">
        <v>26</v>
      </c>
      <c r="L137" s="97" t="s">
        <v>26</v>
      </c>
      <c r="M137" s="95" t="s">
        <v>24</v>
      </c>
      <c r="N137" s="97" t="s">
        <v>26</v>
      </c>
      <c r="O137" s="97" t="s">
        <v>26</v>
      </c>
      <c r="P137" s="97" t="s">
        <v>26</v>
      </c>
      <c r="Q137" s="97" t="s">
        <v>26</v>
      </c>
      <c r="R137" s="97" t="s">
        <v>26</v>
      </c>
      <c r="S137" s="95" t="s">
        <v>24</v>
      </c>
      <c r="T137" s="95" t="s">
        <v>24</v>
      </c>
      <c r="U137" s="97" t="s">
        <v>26</v>
      </c>
      <c r="V137" s="97" t="s">
        <v>26</v>
      </c>
      <c r="W137" s="97" t="s">
        <v>26</v>
      </c>
      <c r="X137" s="97" t="s">
        <v>26</v>
      </c>
      <c r="Y137" s="97" t="s">
        <v>26</v>
      </c>
      <c r="Z137" s="95" t="s">
        <v>24</v>
      </c>
      <c r="AA137" s="95" t="s">
        <v>24</v>
      </c>
      <c r="AB137" s="97" t="s">
        <v>26</v>
      </c>
      <c r="AC137" s="97" t="s">
        <v>26</v>
      </c>
      <c r="AD137" s="97" t="s">
        <v>26</v>
      </c>
      <c r="AE137" s="97" t="s">
        <v>26</v>
      </c>
      <c r="AF137" s="97" t="s">
        <v>26</v>
      </c>
      <c r="AG137" s="95" t="s">
        <v>24</v>
      </c>
      <c r="AH137" s="95" t="s">
        <v>24</v>
      </c>
      <c r="AI137" s="98">
        <v>31</v>
      </c>
      <c r="AJ137" s="98">
        <f t="shared" si="8"/>
        <v>19</v>
      </c>
      <c r="AK137" s="98">
        <v>10</v>
      </c>
      <c r="AL137" s="98">
        <v>2</v>
      </c>
      <c r="AM137" s="98"/>
      <c r="AN137" s="98"/>
      <c r="AO137" s="98"/>
      <c r="AP137" s="98"/>
      <c r="AQ137" s="98"/>
      <c r="AR137" s="98"/>
      <c r="AS137" s="98"/>
      <c r="AT137" s="98">
        <f t="shared" si="9"/>
        <v>0</v>
      </c>
      <c r="AU137" s="99"/>
    </row>
    <row r="138" customFormat="1" ht="34" customHeight="1" spans="1:47">
      <c r="A138" s="92">
        <f t="shared" si="10"/>
        <v>135</v>
      </c>
      <c r="B138" s="93" t="s">
        <v>221</v>
      </c>
      <c r="C138" s="94" t="s">
        <v>378</v>
      </c>
      <c r="D138" s="95" t="s">
        <v>23</v>
      </c>
      <c r="E138" s="95" t="s">
        <v>23</v>
      </c>
      <c r="F138" s="95" t="s">
        <v>24</v>
      </c>
      <c r="G138" s="95" t="s">
        <v>24</v>
      </c>
      <c r="H138" s="95" t="s">
        <v>24</v>
      </c>
      <c r="I138" s="97" t="s">
        <v>26</v>
      </c>
      <c r="J138" s="97" t="s">
        <v>26</v>
      </c>
      <c r="K138" s="97" t="s">
        <v>26</v>
      </c>
      <c r="L138" s="97" t="s">
        <v>26</v>
      </c>
      <c r="M138" s="95" t="s">
        <v>24</v>
      </c>
      <c r="N138" s="97" t="s">
        <v>26</v>
      </c>
      <c r="O138" s="97" t="s">
        <v>26</v>
      </c>
      <c r="P138" s="97" t="s">
        <v>26</v>
      </c>
      <c r="Q138" s="97" t="s">
        <v>26</v>
      </c>
      <c r="R138" s="97" t="s">
        <v>26</v>
      </c>
      <c r="S138" s="95" t="s">
        <v>24</v>
      </c>
      <c r="T138" s="95" t="s">
        <v>24</v>
      </c>
      <c r="U138" s="97" t="s">
        <v>26</v>
      </c>
      <c r="V138" s="97" t="s">
        <v>26</v>
      </c>
      <c r="W138" s="97" t="s">
        <v>26</v>
      </c>
      <c r="X138" s="97" t="s">
        <v>26</v>
      </c>
      <c r="Y138" s="97" t="s">
        <v>26</v>
      </c>
      <c r="Z138" s="95" t="s">
        <v>24</v>
      </c>
      <c r="AA138" s="95" t="s">
        <v>24</v>
      </c>
      <c r="AB138" s="97" t="s">
        <v>26</v>
      </c>
      <c r="AC138" s="97" t="s">
        <v>26</v>
      </c>
      <c r="AD138" s="97" t="s">
        <v>26</v>
      </c>
      <c r="AE138" s="97" t="s">
        <v>26</v>
      </c>
      <c r="AF138" s="97" t="s">
        <v>26</v>
      </c>
      <c r="AG138" s="95" t="s">
        <v>24</v>
      </c>
      <c r="AH138" s="95" t="s">
        <v>24</v>
      </c>
      <c r="AI138" s="98">
        <v>31</v>
      </c>
      <c r="AJ138" s="98">
        <f t="shared" si="8"/>
        <v>19</v>
      </c>
      <c r="AK138" s="98">
        <v>10</v>
      </c>
      <c r="AL138" s="98">
        <v>2</v>
      </c>
      <c r="AM138" s="98"/>
      <c r="AN138" s="98"/>
      <c r="AO138" s="98"/>
      <c r="AP138" s="98"/>
      <c r="AQ138" s="98"/>
      <c r="AR138" s="98"/>
      <c r="AS138" s="98"/>
      <c r="AT138" s="98">
        <f t="shared" si="9"/>
        <v>0</v>
      </c>
      <c r="AU138" s="99"/>
    </row>
    <row r="139" customFormat="1" ht="34" customHeight="1" spans="1:47">
      <c r="A139" s="92">
        <f t="shared" si="10"/>
        <v>136</v>
      </c>
      <c r="B139" s="93" t="s">
        <v>224</v>
      </c>
      <c r="C139" s="94" t="s">
        <v>378</v>
      </c>
      <c r="D139" s="95" t="s">
        <v>23</v>
      </c>
      <c r="E139" s="95" t="s">
        <v>23</v>
      </c>
      <c r="F139" s="95" t="s">
        <v>24</v>
      </c>
      <c r="G139" s="95" t="s">
        <v>24</v>
      </c>
      <c r="H139" s="95" t="s">
        <v>24</v>
      </c>
      <c r="I139" s="100" t="s">
        <v>25</v>
      </c>
      <c r="J139" s="97" t="s">
        <v>26</v>
      </c>
      <c r="K139" s="97" t="s">
        <v>26</v>
      </c>
      <c r="L139" s="97" t="s">
        <v>26</v>
      </c>
      <c r="M139" s="95" t="s">
        <v>24</v>
      </c>
      <c r="N139" s="97" t="s">
        <v>26</v>
      </c>
      <c r="O139" s="97" t="s">
        <v>26</v>
      </c>
      <c r="P139" s="97" t="s">
        <v>26</v>
      </c>
      <c r="Q139" s="97" t="s">
        <v>26</v>
      </c>
      <c r="R139" s="97" t="s">
        <v>26</v>
      </c>
      <c r="S139" s="95" t="s">
        <v>24</v>
      </c>
      <c r="T139" s="95" t="s">
        <v>24</v>
      </c>
      <c r="U139" s="97" t="s">
        <v>26</v>
      </c>
      <c r="V139" s="97" t="s">
        <v>26</v>
      </c>
      <c r="W139" s="97" t="s">
        <v>26</v>
      </c>
      <c r="X139" s="97" t="s">
        <v>26</v>
      </c>
      <c r="Y139" s="97" t="s">
        <v>26</v>
      </c>
      <c r="Z139" s="95" t="s">
        <v>24</v>
      </c>
      <c r="AA139" s="95" t="s">
        <v>24</v>
      </c>
      <c r="AB139" s="97" t="s">
        <v>26</v>
      </c>
      <c r="AC139" s="97" t="s">
        <v>26</v>
      </c>
      <c r="AD139" s="97" t="s">
        <v>26</v>
      </c>
      <c r="AE139" s="97" t="s">
        <v>26</v>
      </c>
      <c r="AF139" s="97" t="s">
        <v>26</v>
      </c>
      <c r="AG139" s="95" t="s">
        <v>24</v>
      </c>
      <c r="AH139" s="95" t="s">
        <v>24</v>
      </c>
      <c r="AI139" s="98">
        <v>31</v>
      </c>
      <c r="AJ139" s="98">
        <f t="shared" si="8"/>
        <v>18</v>
      </c>
      <c r="AK139" s="98">
        <v>10</v>
      </c>
      <c r="AL139" s="98">
        <v>2</v>
      </c>
      <c r="AM139" s="98">
        <v>1</v>
      </c>
      <c r="AN139" s="98"/>
      <c r="AO139" s="98"/>
      <c r="AP139" s="98"/>
      <c r="AQ139" s="98"/>
      <c r="AR139" s="98"/>
      <c r="AS139" s="98"/>
      <c r="AT139" s="98">
        <f t="shared" si="9"/>
        <v>1</v>
      </c>
      <c r="AU139" s="99"/>
    </row>
    <row r="140" customFormat="1" ht="34" customHeight="1" spans="1:47">
      <c r="A140" s="92">
        <f t="shared" si="10"/>
        <v>137</v>
      </c>
      <c r="B140" s="93" t="s">
        <v>225</v>
      </c>
      <c r="C140" s="94" t="s">
        <v>378</v>
      </c>
      <c r="D140" s="95" t="s">
        <v>23</v>
      </c>
      <c r="E140" s="95" t="s">
        <v>23</v>
      </c>
      <c r="F140" s="95" t="s">
        <v>24</v>
      </c>
      <c r="G140" s="95" t="s">
        <v>24</v>
      </c>
      <c r="H140" s="95" t="s">
        <v>24</v>
      </c>
      <c r="I140" s="97" t="s">
        <v>26</v>
      </c>
      <c r="J140" s="97" t="s">
        <v>26</v>
      </c>
      <c r="K140" s="97" t="s">
        <v>26</v>
      </c>
      <c r="L140" s="97" t="s">
        <v>26</v>
      </c>
      <c r="M140" s="95" t="s">
        <v>24</v>
      </c>
      <c r="N140" s="97" t="s">
        <v>26</v>
      </c>
      <c r="O140" s="97" t="s">
        <v>26</v>
      </c>
      <c r="P140" s="97" t="s">
        <v>26</v>
      </c>
      <c r="Q140" s="97" t="s">
        <v>26</v>
      </c>
      <c r="R140" s="97" t="s">
        <v>26</v>
      </c>
      <c r="S140" s="95" t="s">
        <v>24</v>
      </c>
      <c r="T140" s="95" t="s">
        <v>24</v>
      </c>
      <c r="U140" s="97" t="s">
        <v>26</v>
      </c>
      <c r="V140" s="97" t="s">
        <v>26</v>
      </c>
      <c r="W140" s="97" t="s">
        <v>26</v>
      </c>
      <c r="X140" s="97" t="s">
        <v>26</v>
      </c>
      <c r="Y140" s="97" t="s">
        <v>26</v>
      </c>
      <c r="Z140" s="95" t="s">
        <v>24</v>
      </c>
      <c r="AA140" s="95" t="s">
        <v>24</v>
      </c>
      <c r="AB140" s="97" t="s">
        <v>26</v>
      </c>
      <c r="AC140" s="97" t="s">
        <v>26</v>
      </c>
      <c r="AD140" s="97" t="s">
        <v>26</v>
      </c>
      <c r="AE140" s="97" t="s">
        <v>26</v>
      </c>
      <c r="AF140" s="97" t="s">
        <v>26</v>
      </c>
      <c r="AG140" s="95" t="s">
        <v>24</v>
      </c>
      <c r="AH140" s="95" t="s">
        <v>24</v>
      </c>
      <c r="AI140" s="98">
        <v>31</v>
      </c>
      <c r="AJ140" s="98">
        <f t="shared" si="8"/>
        <v>19</v>
      </c>
      <c r="AK140" s="98">
        <v>10</v>
      </c>
      <c r="AL140" s="98">
        <v>2</v>
      </c>
      <c r="AM140" s="98"/>
      <c r="AN140" s="98"/>
      <c r="AO140" s="98"/>
      <c r="AP140" s="98"/>
      <c r="AQ140" s="98"/>
      <c r="AR140" s="98"/>
      <c r="AS140" s="98"/>
      <c r="AT140" s="98">
        <f t="shared" si="9"/>
        <v>0</v>
      </c>
      <c r="AU140" s="99"/>
    </row>
    <row r="141" customFormat="1" ht="34" customHeight="1" spans="1:47">
      <c r="A141" s="92">
        <f t="shared" si="10"/>
        <v>138</v>
      </c>
      <c r="B141" s="93" t="s">
        <v>226</v>
      </c>
      <c r="C141" s="94" t="s">
        <v>378</v>
      </c>
      <c r="D141" s="95" t="s">
        <v>23</v>
      </c>
      <c r="E141" s="95" t="s">
        <v>23</v>
      </c>
      <c r="F141" s="95" t="s">
        <v>24</v>
      </c>
      <c r="G141" s="95" t="s">
        <v>24</v>
      </c>
      <c r="H141" s="95" t="s">
        <v>24</v>
      </c>
      <c r="I141" s="100" t="s">
        <v>25</v>
      </c>
      <c r="J141" s="97" t="s">
        <v>26</v>
      </c>
      <c r="K141" s="97" t="s">
        <v>26</v>
      </c>
      <c r="L141" s="97" t="s">
        <v>26</v>
      </c>
      <c r="M141" s="95" t="s">
        <v>24</v>
      </c>
      <c r="N141" s="97" t="s">
        <v>26</v>
      </c>
      <c r="O141" s="97" t="s">
        <v>26</v>
      </c>
      <c r="P141" s="97" t="s">
        <v>26</v>
      </c>
      <c r="Q141" s="97" t="s">
        <v>26</v>
      </c>
      <c r="R141" s="97" t="s">
        <v>26</v>
      </c>
      <c r="S141" s="95" t="s">
        <v>24</v>
      </c>
      <c r="T141" s="95" t="s">
        <v>24</v>
      </c>
      <c r="U141" s="97" t="s">
        <v>26</v>
      </c>
      <c r="V141" s="97" t="s">
        <v>26</v>
      </c>
      <c r="W141" s="97" t="s">
        <v>26</v>
      </c>
      <c r="X141" s="97" t="s">
        <v>26</v>
      </c>
      <c r="Y141" s="97" t="s">
        <v>26</v>
      </c>
      <c r="Z141" s="95" t="s">
        <v>24</v>
      </c>
      <c r="AA141" s="95" t="s">
        <v>24</v>
      </c>
      <c r="AB141" s="97" t="s">
        <v>26</v>
      </c>
      <c r="AC141" s="97" t="s">
        <v>26</v>
      </c>
      <c r="AD141" s="97" t="s">
        <v>26</v>
      </c>
      <c r="AE141" s="97" t="s">
        <v>26</v>
      </c>
      <c r="AF141" s="97" t="s">
        <v>26</v>
      </c>
      <c r="AG141" s="95" t="s">
        <v>24</v>
      </c>
      <c r="AH141" s="95" t="s">
        <v>24</v>
      </c>
      <c r="AI141" s="98">
        <v>31</v>
      </c>
      <c r="AJ141" s="98">
        <f t="shared" si="8"/>
        <v>18</v>
      </c>
      <c r="AK141" s="98">
        <v>10</v>
      </c>
      <c r="AL141" s="98">
        <v>2</v>
      </c>
      <c r="AM141" s="98">
        <v>1</v>
      </c>
      <c r="AN141" s="98"/>
      <c r="AO141" s="98"/>
      <c r="AP141" s="98"/>
      <c r="AQ141" s="98"/>
      <c r="AR141" s="98"/>
      <c r="AS141" s="98"/>
      <c r="AT141" s="98">
        <f t="shared" si="9"/>
        <v>1</v>
      </c>
      <c r="AU141" s="99"/>
    </row>
    <row r="142" customFormat="1" ht="34" customHeight="1" spans="1:47">
      <c r="A142" s="92">
        <f t="shared" si="10"/>
        <v>139</v>
      </c>
      <c r="B142" s="93" t="s">
        <v>380</v>
      </c>
      <c r="C142" s="94" t="s">
        <v>378</v>
      </c>
      <c r="D142" s="95" t="s">
        <v>23</v>
      </c>
      <c r="E142" s="95" t="s">
        <v>23</v>
      </c>
      <c r="F142" s="95" t="s">
        <v>24</v>
      </c>
      <c r="G142" s="95" t="s">
        <v>24</v>
      </c>
      <c r="H142" s="95" t="s">
        <v>24</v>
      </c>
      <c r="I142" s="97" t="s">
        <v>26</v>
      </c>
      <c r="J142" s="97" t="s">
        <v>26</v>
      </c>
      <c r="K142" s="97" t="s">
        <v>26</v>
      </c>
      <c r="L142" s="97" t="s">
        <v>26</v>
      </c>
      <c r="M142" s="95" t="s">
        <v>24</v>
      </c>
      <c r="N142" s="97" t="s">
        <v>26</v>
      </c>
      <c r="O142" s="97" t="s">
        <v>26</v>
      </c>
      <c r="P142" s="97" t="s">
        <v>26</v>
      </c>
      <c r="Q142" s="97" t="s">
        <v>26</v>
      </c>
      <c r="R142" s="97" t="s">
        <v>26</v>
      </c>
      <c r="S142" s="95" t="s">
        <v>24</v>
      </c>
      <c r="T142" s="95" t="s">
        <v>24</v>
      </c>
      <c r="U142" s="97" t="s">
        <v>26</v>
      </c>
      <c r="V142" s="97" t="s">
        <v>26</v>
      </c>
      <c r="W142" s="97" t="s">
        <v>26</v>
      </c>
      <c r="X142" s="97" t="s">
        <v>26</v>
      </c>
      <c r="Y142" s="97" t="s">
        <v>26</v>
      </c>
      <c r="Z142" s="95" t="s">
        <v>24</v>
      </c>
      <c r="AA142" s="95" t="s">
        <v>24</v>
      </c>
      <c r="AB142" s="97" t="s">
        <v>26</v>
      </c>
      <c r="AC142" s="97" t="s">
        <v>26</v>
      </c>
      <c r="AD142" s="97" t="s">
        <v>26</v>
      </c>
      <c r="AE142" s="97" t="s">
        <v>26</v>
      </c>
      <c r="AF142" s="97" t="s">
        <v>26</v>
      </c>
      <c r="AG142" s="95" t="s">
        <v>24</v>
      </c>
      <c r="AH142" s="95" t="s">
        <v>24</v>
      </c>
      <c r="AI142" s="98">
        <v>31</v>
      </c>
      <c r="AJ142" s="98">
        <f t="shared" si="8"/>
        <v>19</v>
      </c>
      <c r="AK142" s="98">
        <v>10</v>
      </c>
      <c r="AL142" s="98">
        <v>2</v>
      </c>
      <c r="AM142" s="98"/>
      <c r="AN142" s="98"/>
      <c r="AO142" s="98"/>
      <c r="AP142" s="98"/>
      <c r="AQ142" s="98"/>
      <c r="AR142" s="98"/>
      <c r="AS142" s="98"/>
      <c r="AT142" s="98">
        <f t="shared" si="9"/>
        <v>0</v>
      </c>
      <c r="AU142" s="99"/>
    </row>
    <row r="143" customFormat="1" ht="34" customHeight="1" spans="1:47">
      <c r="A143" s="92">
        <f t="shared" si="10"/>
        <v>140</v>
      </c>
      <c r="B143" s="110" t="s">
        <v>228</v>
      </c>
      <c r="C143" s="94" t="s">
        <v>378</v>
      </c>
      <c r="D143" s="95" t="s">
        <v>23</v>
      </c>
      <c r="E143" s="95" t="s">
        <v>23</v>
      </c>
      <c r="F143" s="95" t="s">
        <v>24</v>
      </c>
      <c r="G143" s="95" t="s">
        <v>24</v>
      </c>
      <c r="H143" s="95" t="s">
        <v>24</v>
      </c>
      <c r="I143" s="97" t="s">
        <v>26</v>
      </c>
      <c r="J143" s="97" t="s">
        <v>26</v>
      </c>
      <c r="K143" s="97" t="s">
        <v>26</v>
      </c>
      <c r="L143" s="97" t="s">
        <v>26</v>
      </c>
      <c r="M143" s="95" t="s">
        <v>24</v>
      </c>
      <c r="N143" s="97" t="s">
        <v>26</v>
      </c>
      <c r="O143" s="97" t="s">
        <v>26</v>
      </c>
      <c r="P143" s="97" t="s">
        <v>26</v>
      </c>
      <c r="Q143" s="97" t="s">
        <v>26</v>
      </c>
      <c r="R143" s="97" t="s">
        <v>26</v>
      </c>
      <c r="S143" s="95" t="s">
        <v>24</v>
      </c>
      <c r="T143" s="95" t="s">
        <v>24</v>
      </c>
      <c r="U143" s="97" t="s">
        <v>26</v>
      </c>
      <c r="V143" s="97" t="s">
        <v>26</v>
      </c>
      <c r="W143" s="97" t="s">
        <v>26</v>
      </c>
      <c r="X143" s="97" t="s">
        <v>26</v>
      </c>
      <c r="Y143" s="97" t="s">
        <v>26</v>
      </c>
      <c r="Z143" s="95" t="s">
        <v>24</v>
      </c>
      <c r="AA143" s="95" t="s">
        <v>24</v>
      </c>
      <c r="AB143" s="97" t="s">
        <v>26</v>
      </c>
      <c r="AC143" s="97" t="s">
        <v>26</v>
      </c>
      <c r="AD143" s="97" t="s">
        <v>26</v>
      </c>
      <c r="AE143" s="97" t="s">
        <v>26</v>
      </c>
      <c r="AF143" s="97" t="s">
        <v>26</v>
      </c>
      <c r="AG143" s="95" t="s">
        <v>24</v>
      </c>
      <c r="AH143" s="95" t="s">
        <v>24</v>
      </c>
      <c r="AI143" s="98">
        <v>31</v>
      </c>
      <c r="AJ143" s="98">
        <f t="shared" si="8"/>
        <v>19</v>
      </c>
      <c r="AK143" s="98">
        <v>10</v>
      </c>
      <c r="AL143" s="98">
        <v>2</v>
      </c>
      <c r="AM143" s="98"/>
      <c r="AN143" s="98"/>
      <c r="AO143" s="98"/>
      <c r="AP143" s="98"/>
      <c r="AQ143" s="98"/>
      <c r="AR143" s="98"/>
      <c r="AS143" s="98"/>
      <c r="AT143" s="98">
        <f t="shared" si="9"/>
        <v>0</v>
      </c>
      <c r="AU143" s="99"/>
    </row>
    <row r="144" customFormat="1" ht="34" customHeight="1" spans="1:47">
      <c r="A144" s="92">
        <f t="shared" si="10"/>
        <v>141</v>
      </c>
      <c r="B144" s="93" t="s">
        <v>229</v>
      </c>
      <c r="C144" s="94" t="s">
        <v>378</v>
      </c>
      <c r="D144" s="95" t="s">
        <v>23</v>
      </c>
      <c r="E144" s="95" t="s">
        <v>23</v>
      </c>
      <c r="F144" s="95" t="s">
        <v>24</v>
      </c>
      <c r="G144" s="95" t="s">
        <v>24</v>
      </c>
      <c r="H144" s="95" t="s">
        <v>24</v>
      </c>
      <c r="I144" s="97" t="s">
        <v>26</v>
      </c>
      <c r="J144" s="97" t="s">
        <v>26</v>
      </c>
      <c r="K144" s="97" t="s">
        <v>26</v>
      </c>
      <c r="L144" s="97" t="s">
        <v>26</v>
      </c>
      <c r="M144" s="95" t="s">
        <v>24</v>
      </c>
      <c r="N144" s="97" t="s">
        <v>26</v>
      </c>
      <c r="O144" s="97" t="s">
        <v>26</v>
      </c>
      <c r="P144" s="97" t="s">
        <v>26</v>
      </c>
      <c r="Q144" s="97" t="s">
        <v>26</v>
      </c>
      <c r="R144" s="97" t="s">
        <v>26</v>
      </c>
      <c r="S144" s="95" t="s">
        <v>24</v>
      </c>
      <c r="T144" s="95" t="s">
        <v>24</v>
      </c>
      <c r="U144" s="97" t="s">
        <v>26</v>
      </c>
      <c r="V144" s="97" t="s">
        <v>26</v>
      </c>
      <c r="W144" s="97" t="s">
        <v>26</v>
      </c>
      <c r="X144" s="97" t="s">
        <v>26</v>
      </c>
      <c r="Y144" s="97" t="s">
        <v>26</v>
      </c>
      <c r="Z144" s="95" t="s">
        <v>24</v>
      </c>
      <c r="AA144" s="95" t="s">
        <v>24</v>
      </c>
      <c r="AB144" s="97" t="s">
        <v>26</v>
      </c>
      <c r="AC144" s="97" t="s">
        <v>26</v>
      </c>
      <c r="AD144" s="97" t="s">
        <v>26</v>
      </c>
      <c r="AE144" s="97" t="s">
        <v>26</v>
      </c>
      <c r="AF144" s="97" t="s">
        <v>26</v>
      </c>
      <c r="AG144" s="95" t="s">
        <v>24</v>
      </c>
      <c r="AH144" s="95" t="s">
        <v>24</v>
      </c>
      <c r="AI144" s="98">
        <v>31</v>
      </c>
      <c r="AJ144" s="98">
        <f t="shared" si="8"/>
        <v>19</v>
      </c>
      <c r="AK144" s="98">
        <v>10</v>
      </c>
      <c r="AL144" s="98">
        <v>2</v>
      </c>
      <c r="AM144" s="98"/>
      <c r="AN144" s="98"/>
      <c r="AO144" s="98"/>
      <c r="AP144" s="98"/>
      <c r="AQ144" s="98"/>
      <c r="AR144" s="98"/>
      <c r="AS144" s="98"/>
      <c r="AT144" s="98">
        <f t="shared" si="9"/>
        <v>0</v>
      </c>
      <c r="AU144" s="99"/>
    </row>
    <row r="145" customFormat="1" ht="34" customHeight="1" spans="1:47">
      <c r="A145" s="92">
        <f t="shared" si="10"/>
        <v>142</v>
      </c>
      <c r="B145" s="93" t="s">
        <v>230</v>
      </c>
      <c r="C145" s="94" t="s">
        <v>378</v>
      </c>
      <c r="D145" s="95" t="s">
        <v>23</v>
      </c>
      <c r="E145" s="95" t="s">
        <v>23</v>
      </c>
      <c r="F145" s="95" t="s">
        <v>24</v>
      </c>
      <c r="G145" s="95" t="s">
        <v>24</v>
      </c>
      <c r="H145" s="95" t="s">
        <v>24</v>
      </c>
      <c r="I145" s="97" t="s">
        <v>26</v>
      </c>
      <c r="J145" s="97" t="s">
        <v>26</v>
      </c>
      <c r="K145" s="97" t="s">
        <v>26</v>
      </c>
      <c r="L145" s="97" t="s">
        <v>26</v>
      </c>
      <c r="M145" s="95" t="s">
        <v>24</v>
      </c>
      <c r="N145" s="97" t="s">
        <v>26</v>
      </c>
      <c r="O145" s="97" t="s">
        <v>26</v>
      </c>
      <c r="P145" s="97" t="s">
        <v>26</v>
      </c>
      <c r="Q145" s="97" t="s">
        <v>26</v>
      </c>
      <c r="R145" s="97" t="s">
        <v>26</v>
      </c>
      <c r="S145" s="95" t="s">
        <v>24</v>
      </c>
      <c r="T145" s="95" t="s">
        <v>24</v>
      </c>
      <c r="U145" s="97" t="s">
        <v>26</v>
      </c>
      <c r="V145" s="97" t="s">
        <v>26</v>
      </c>
      <c r="W145" s="97" t="s">
        <v>26</v>
      </c>
      <c r="X145" s="97" t="s">
        <v>26</v>
      </c>
      <c r="Y145" s="97" t="s">
        <v>26</v>
      </c>
      <c r="Z145" s="95" t="s">
        <v>24</v>
      </c>
      <c r="AA145" s="95" t="s">
        <v>24</v>
      </c>
      <c r="AB145" s="97" t="s">
        <v>26</v>
      </c>
      <c r="AC145" s="97" t="s">
        <v>26</v>
      </c>
      <c r="AD145" s="97" t="s">
        <v>26</v>
      </c>
      <c r="AE145" s="97" t="s">
        <v>26</v>
      </c>
      <c r="AF145" s="97" t="s">
        <v>26</v>
      </c>
      <c r="AG145" s="95" t="s">
        <v>24</v>
      </c>
      <c r="AH145" s="95" t="s">
        <v>24</v>
      </c>
      <c r="AI145" s="98">
        <v>31</v>
      </c>
      <c r="AJ145" s="98">
        <f t="shared" si="8"/>
        <v>19</v>
      </c>
      <c r="AK145" s="98">
        <v>10</v>
      </c>
      <c r="AL145" s="98">
        <v>2</v>
      </c>
      <c r="AM145" s="98"/>
      <c r="AN145" s="98"/>
      <c r="AO145" s="98"/>
      <c r="AP145" s="98"/>
      <c r="AQ145" s="98"/>
      <c r="AR145" s="98"/>
      <c r="AS145" s="98"/>
      <c r="AT145" s="98">
        <f t="shared" si="9"/>
        <v>0</v>
      </c>
      <c r="AU145" s="99"/>
    </row>
    <row r="146" customFormat="1" ht="34" customHeight="1" spans="1:47">
      <c r="A146" s="92">
        <f t="shared" si="10"/>
        <v>143</v>
      </c>
      <c r="B146" s="93" t="s">
        <v>231</v>
      </c>
      <c r="C146" s="94" t="s">
        <v>378</v>
      </c>
      <c r="D146" s="95" t="s">
        <v>23</v>
      </c>
      <c r="E146" s="95" t="s">
        <v>23</v>
      </c>
      <c r="F146" s="95" t="s">
        <v>24</v>
      </c>
      <c r="G146" s="95" t="s">
        <v>24</v>
      </c>
      <c r="H146" s="95" t="s">
        <v>24</v>
      </c>
      <c r="I146" s="97" t="s">
        <v>26</v>
      </c>
      <c r="J146" s="97" t="s">
        <v>26</v>
      </c>
      <c r="K146" s="97" t="s">
        <v>26</v>
      </c>
      <c r="L146" s="97" t="s">
        <v>26</v>
      </c>
      <c r="M146" s="95" t="s">
        <v>24</v>
      </c>
      <c r="N146" s="97" t="s">
        <v>26</v>
      </c>
      <c r="O146" s="97" t="s">
        <v>26</v>
      </c>
      <c r="P146" s="97" t="s">
        <v>26</v>
      </c>
      <c r="Q146" s="97" t="s">
        <v>26</v>
      </c>
      <c r="R146" s="97" t="s">
        <v>26</v>
      </c>
      <c r="S146" s="95" t="s">
        <v>24</v>
      </c>
      <c r="T146" s="95" t="s">
        <v>24</v>
      </c>
      <c r="U146" s="97" t="s">
        <v>26</v>
      </c>
      <c r="V146" s="97" t="s">
        <v>26</v>
      </c>
      <c r="W146" s="97" t="s">
        <v>26</v>
      </c>
      <c r="X146" s="97" t="s">
        <v>26</v>
      </c>
      <c r="Y146" s="97" t="s">
        <v>26</v>
      </c>
      <c r="Z146" s="95" t="s">
        <v>24</v>
      </c>
      <c r="AA146" s="95" t="s">
        <v>24</v>
      </c>
      <c r="AB146" s="97" t="s">
        <v>26</v>
      </c>
      <c r="AC146" s="97" t="s">
        <v>26</v>
      </c>
      <c r="AD146" s="97" t="s">
        <v>26</v>
      </c>
      <c r="AE146" s="100" t="s">
        <v>321</v>
      </c>
      <c r="AF146" s="97" t="s">
        <v>26</v>
      </c>
      <c r="AG146" s="95" t="s">
        <v>24</v>
      </c>
      <c r="AH146" s="95" t="s">
        <v>24</v>
      </c>
      <c r="AI146" s="98">
        <v>31</v>
      </c>
      <c r="AJ146" s="98">
        <f t="shared" si="8"/>
        <v>18.56</v>
      </c>
      <c r="AK146" s="98">
        <v>10</v>
      </c>
      <c r="AL146" s="98">
        <v>2</v>
      </c>
      <c r="AM146" s="98">
        <v>0.44</v>
      </c>
      <c r="AN146" s="98"/>
      <c r="AO146" s="98"/>
      <c r="AP146" s="98"/>
      <c r="AQ146" s="98"/>
      <c r="AR146" s="98"/>
      <c r="AS146" s="98"/>
      <c r="AT146" s="98">
        <f t="shared" si="9"/>
        <v>0.44</v>
      </c>
      <c r="AU146" s="99"/>
    </row>
    <row r="147" customFormat="1" ht="34" customHeight="1" spans="1:47">
      <c r="A147" s="92">
        <f t="shared" si="10"/>
        <v>144</v>
      </c>
      <c r="B147" s="93" t="s">
        <v>232</v>
      </c>
      <c r="C147" s="94" t="s">
        <v>378</v>
      </c>
      <c r="D147" s="95" t="s">
        <v>23</v>
      </c>
      <c r="E147" s="95" t="s">
        <v>23</v>
      </c>
      <c r="F147" s="95" t="s">
        <v>24</v>
      </c>
      <c r="G147" s="95" t="s">
        <v>24</v>
      </c>
      <c r="H147" s="95" t="s">
        <v>24</v>
      </c>
      <c r="I147" s="97" t="s">
        <v>26</v>
      </c>
      <c r="J147" s="97" t="s">
        <v>26</v>
      </c>
      <c r="K147" s="97" t="s">
        <v>26</v>
      </c>
      <c r="L147" s="97" t="s">
        <v>26</v>
      </c>
      <c r="M147" s="95" t="s">
        <v>24</v>
      </c>
      <c r="N147" s="97" t="s">
        <v>26</v>
      </c>
      <c r="O147" s="97" t="s">
        <v>26</v>
      </c>
      <c r="P147" s="97" t="s">
        <v>26</v>
      </c>
      <c r="Q147" s="97" t="s">
        <v>26</v>
      </c>
      <c r="R147" s="97" t="s">
        <v>26</v>
      </c>
      <c r="S147" s="95" t="s">
        <v>24</v>
      </c>
      <c r="T147" s="95" t="s">
        <v>24</v>
      </c>
      <c r="U147" s="97" t="s">
        <v>26</v>
      </c>
      <c r="V147" s="97" t="s">
        <v>26</v>
      </c>
      <c r="W147" s="97" t="s">
        <v>26</v>
      </c>
      <c r="X147" s="97" t="s">
        <v>26</v>
      </c>
      <c r="Y147" s="97" t="s">
        <v>26</v>
      </c>
      <c r="Z147" s="95" t="s">
        <v>24</v>
      </c>
      <c r="AA147" s="95" t="s">
        <v>24</v>
      </c>
      <c r="AB147" s="97" t="s">
        <v>26</v>
      </c>
      <c r="AC147" s="97" t="s">
        <v>26</v>
      </c>
      <c r="AD147" s="97" t="s">
        <v>26</v>
      </c>
      <c r="AE147" s="97" t="s">
        <v>26</v>
      </c>
      <c r="AF147" s="97" t="s">
        <v>26</v>
      </c>
      <c r="AG147" s="95" t="s">
        <v>24</v>
      </c>
      <c r="AH147" s="95" t="s">
        <v>24</v>
      </c>
      <c r="AI147" s="98">
        <v>31</v>
      </c>
      <c r="AJ147" s="98">
        <f t="shared" si="8"/>
        <v>19</v>
      </c>
      <c r="AK147" s="98">
        <v>10</v>
      </c>
      <c r="AL147" s="98">
        <v>2</v>
      </c>
      <c r="AM147" s="98"/>
      <c r="AN147" s="98"/>
      <c r="AO147" s="98"/>
      <c r="AP147" s="98"/>
      <c r="AQ147" s="98"/>
      <c r="AR147" s="98"/>
      <c r="AS147" s="98"/>
      <c r="AT147" s="98">
        <f t="shared" si="9"/>
        <v>0</v>
      </c>
      <c r="AU147" s="99"/>
    </row>
    <row r="148" customFormat="1" ht="34" customHeight="1" spans="1:47">
      <c r="A148" s="92">
        <f t="shared" si="10"/>
        <v>145</v>
      </c>
      <c r="B148" s="93" t="s">
        <v>381</v>
      </c>
      <c r="C148" s="94" t="s">
        <v>378</v>
      </c>
      <c r="D148" s="95" t="s">
        <v>23</v>
      </c>
      <c r="E148" s="95" t="s">
        <v>23</v>
      </c>
      <c r="F148" s="95" t="s">
        <v>24</v>
      </c>
      <c r="G148" s="95" t="s">
        <v>24</v>
      </c>
      <c r="H148" s="95" t="s">
        <v>24</v>
      </c>
      <c r="I148" s="97" t="s">
        <v>26</v>
      </c>
      <c r="J148" s="97" t="s">
        <v>26</v>
      </c>
      <c r="K148" s="97" t="s">
        <v>26</v>
      </c>
      <c r="L148" s="97" t="s">
        <v>26</v>
      </c>
      <c r="M148" s="95" t="s">
        <v>24</v>
      </c>
      <c r="N148" s="97" t="s">
        <v>26</v>
      </c>
      <c r="O148" s="97" t="s">
        <v>26</v>
      </c>
      <c r="P148" s="97" t="s">
        <v>26</v>
      </c>
      <c r="Q148" s="97" t="s">
        <v>26</v>
      </c>
      <c r="R148" s="97" t="s">
        <v>26</v>
      </c>
      <c r="S148" s="95" t="s">
        <v>24</v>
      </c>
      <c r="T148" s="95" t="s">
        <v>24</v>
      </c>
      <c r="U148" s="97" t="s">
        <v>26</v>
      </c>
      <c r="V148" s="97" t="s">
        <v>26</v>
      </c>
      <c r="W148" s="97" t="s">
        <v>26</v>
      </c>
      <c r="X148" s="97" t="s">
        <v>26</v>
      </c>
      <c r="Y148" s="97" t="s">
        <v>26</v>
      </c>
      <c r="Z148" s="95" t="s">
        <v>24</v>
      </c>
      <c r="AA148" s="95" t="s">
        <v>24</v>
      </c>
      <c r="AB148" s="97" t="s">
        <v>26</v>
      </c>
      <c r="AC148" s="97" t="s">
        <v>26</v>
      </c>
      <c r="AD148" s="97" t="s">
        <v>26</v>
      </c>
      <c r="AE148" s="97" t="s">
        <v>26</v>
      </c>
      <c r="AF148" s="97" t="s">
        <v>26</v>
      </c>
      <c r="AG148" s="95" t="s">
        <v>24</v>
      </c>
      <c r="AH148" s="95" t="s">
        <v>24</v>
      </c>
      <c r="AI148" s="98">
        <v>31</v>
      </c>
      <c r="AJ148" s="98">
        <f t="shared" si="8"/>
        <v>19</v>
      </c>
      <c r="AK148" s="98">
        <v>10</v>
      </c>
      <c r="AL148" s="98">
        <v>2</v>
      </c>
      <c r="AM148" s="98"/>
      <c r="AN148" s="98"/>
      <c r="AO148" s="98"/>
      <c r="AP148" s="98"/>
      <c r="AQ148" s="98"/>
      <c r="AR148" s="98"/>
      <c r="AS148" s="98"/>
      <c r="AT148" s="98">
        <f t="shared" si="9"/>
        <v>0</v>
      </c>
      <c r="AU148" s="99"/>
    </row>
    <row r="149" customFormat="1" ht="34" customHeight="1" spans="1:47">
      <c r="A149" s="92">
        <f t="shared" si="10"/>
        <v>146</v>
      </c>
      <c r="B149" s="93" t="s">
        <v>233</v>
      </c>
      <c r="C149" s="94" t="s">
        <v>378</v>
      </c>
      <c r="D149" s="95" t="s">
        <v>23</v>
      </c>
      <c r="E149" s="95" t="s">
        <v>23</v>
      </c>
      <c r="F149" s="95" t="s">
        <v>24</v>
      </c>
      <c r="G149" s="95" t="s">
        <v>24</v>
      </c>
      <c r="H149" s="95" t="s">
        <v>24</v>
      </c>
      <c r="I149" s="97" t="s">
        <v>26</v>
      </c>
      <c r="J149" s="97" t="s">
        <v>26</v>
      </c>
      <c r="K149" s="97" t="s">
        <v>26</v>
      </c>
      <c r="L149" s="97" t="s">
        <v>26</v>
      </c>
      <c r="M149" s="95" t="s">
        <v>24</v>
      </c>
      <c r="N149" s="97" t="s">
        <v>26</v>
      </c>
      <c r="O149" s="97" t="s">
        <v>26</v>
      </c>
      <c r="P149" s="97" t="s">
        <v>26</v>
      </c>
      <c r="Q149" s="97" t="s">
        <v>26</v>
      </c>
      <c r="R149" s="97" t="s">
        <v>26</v>
      </c>
      <c r="S149" s="95" t="s">
        <v>24</v>
      </c>
      <c r="T149" s="95" t="s">
        <v>24</v>
      </c>
      <c r="U149" s="97" t="s">
        <v>26</v>
      </c>
      <c r="V149" s="97" t="s">
        <v>26</v>
      </c>
      <c r="W149" s="97" t="s">
        <v>26</v>
      </c>
      <c r="X149" s="97" t="s">
        <v>26</v>
      </c>
      <c r="Y149" s="97" t="s">
        <v>26</v>
      </c>
      <c r="Z149" s="95" t="s">
        <v>24</v>
      </c>
      <c r="AA149" s="95" t="s">
        <v>24</v>
      </c>
      <c r="AB149" s="97" t="s">
        <v>26</v>
      </c>
      <c r="AC149" s="97" t="s">
        <v>26</v>
      </c>
      <c r="AD149" s="97" t="s">
        <v>26</v>
      </c>
      <c r="AE149" s="97" t="s">
        <v>26</v>
      </c>
      <c r="AF149" s="97" t="s">
        <v>26</v>
      </c>
      <c r="AG149" s="95" t="s">
        <v>24</v>
      </c>
      <c r="AH149" s="95" t="s">
        <v>24</v>
      </c>
      <c r="AI149" s="98">
        <v>31</v>
      </c>
      <c r="AJ149" s="98">
        <f t="shared" si="8"/>
        <v>19</v>
      </c>
      <c r="AK149" s="98">
        <v>10</v>
      </c>
      <c r="AL149" s="98">
        <v>2</v>
      </c>
      <c r="AM149" s="98"/>
      <c r="AN149" s="98"/>
      <c r="AO149" s="98"/>
      <c r="AP149" s="98"/>
      <c r="AQ149" s="98"/>
      <c r="AR149" s="98"/>
      <c r="AS149" s="98"/>
      <c r="AT149" s="98">
        <f t="shared" si="9"/>
        <v>0</v>
      </c>
      <c r="AU149" s="99"/>
    </row>
    <row r="150" customFormat="1" ht="34" customHeight="1" spans="1:47">
      <c r="A150" s="92">
        <f t="shared" si="10"/>
        <v>147</v>
      </c>
      <c r="B150" s="93" t="s">
        <v>234</v>
      </c>
      <c r="C150" s="94" t="s">
        <v>378</v>
      </c>
      <c r="D150" s="95" t="s">
        <v>23</v>
      </c>
      <c r="E150" s="95" t="s">
        <v>23</v>
      </c>
      <c r="F150" s="95" t="s">
        <v>24</v>
      </c>
      <c r="G150" s="95" t="s">
        <v>24</v>
      </c>
      <c r="H150" s="95" t="s">
        <v>24</v>
      </c>
      <c r="I150" s="97" t="s">
        <v>26</v>
      </c>
      <c r="J150" s="97" t="s">
        <v>26</v>
      </c>
      <c r="K150" s="97" t="s">
        <v>26</v>
      </c>
      <c r="L150" s="97" t="s">
        <v>26</v>
      </c>
      <c r="M150" s="95" t="s">
        <v>24</v>
      </c>
      <c r="N150" s="97" t="s">
        <v>26</v>
      </c>
      <c r="O150" s="97" t="s">
        <v>26</v>
      </c>
      <c r="P150" s="97" t="s">
        <v>26</v>
      </c>
      <c r="Q150" s="97" t="s">
        <v>26</v>
      </c>
      <c r="R150" s="97" t="s">
        <v>26</v>
      </c>
      <c r="S150" s="95" t="s">
        <v>24</v>
      </c>
      <c r="T150" s="95" t="s">
        <v>24</v>
      </c>
      <c r="U150" s="97" t="s">
        <v>26</v>
      </c>
      <c r="V150" s="97" t="s">
        <v>26</v>
      </c>
      <c r="W150" s="97" t="s">
        <v>26</v>
      </c>
      <c r="X150" s="97" t="s">
        <v>26</v>
      </c>
      <c r="Y150" s="97" t="s">
        <v>26</v>
      </c>
      <c r="Z150" s="95" t="s">
        <v>24</v>
      </c>
      <c r="AA150" s="95" t="s">
        <v>24</v>
      </c>
      <c r="AB150" s="97" t="s">
        <v>26</v>
      </c>
      <c r="AC150" s="97" t="s">
        <v>26</v>
      </c>
      <c r="AD150" s="97" t="s">
        <v>26</v>
      </c>
      <c r="AE150" s="97" t="s">
        <v>26</v>
      </c>
      <c r="AF150" s="97" t="s">
        <v>26</v>
      </c>
      <c r="AG150" s="95" t="s">
        <v>24</v>
      </c>
      <c r="AH150" s="95" t="s">
        <v>24</v>
      </c>
      <c r="AI150" s="98">
        <v>31</v>
      </c>
      <c r="AJ150" s="98">
        <f t="shared" si="8"/>
        <v>19</v>
      </c>
      <c r="AK150" s="98">
        <v>10</v>
      </c>
      <c r="AL150" s="98">
        <v>2</v>
      </c>
      <c r="AM150" s="98"/>
      <c r="AN150" s="98"/>
      <c r="AO150" s="98"/>
      <c r="AP150" s="98"/>
      <c r="AQ150" s="98"/>
      <c r="AR150" s="98"/>
      <c r="AS150" s="98"/>
      <c r="AT150" s="98">
        <f t="shared" si="9"/>
        <v>0</v>
      </c>
      <c r="AU150" s="99"/>
    </row>
    <row r="151" customFormat="1" ht="34" customHeight="1" spans="1:47">
      <c r="A151" s="92">
        <f t="shared" si="10"/>
        <v>148</v>
      </c>
      <c r="B151" s="93" t="s">
        <v>382</v>
      </c>
      <c r="C151" s="94" t="s">
        <v>378</v>
      </c>
      <c r="D151" s="95" t="s">
        <v>23</v>
      </c>
      <c r="E151" s="95" t="s">
        <v>23</v>
      </c>
      <c r="F151" s="95" t="s">
        <v>24</v>
      </c>
      <c r="G151" s="95" t="s">
        <v>24</v>
      </c>
      <c r="H151" s="95" t="s">
        <v>24</v>
      </c>
      <c r="I151" s="97" t="s">
        <v>26</v>
      </c>
      <c r="J151" s="97" t="s">
        <v>26</v>
      </c>
      <c r="K151" s="97" t="s">
        <v>26</v>
      </c>
      <c r="L151" s="97" t="s">
        <v>26</v>
      </c>
      <c r="M151" s="95" t="s">
        <v>24</v>
      </c>
      <c r="N151" s="97" t="s">
        <v>26</v>
      </c>
      <c r="O151" s="97" t="s">
        <v>26</v>
      </c>
      <c r="P151" s="97" t="s">
        <v>26</v>
      </c>
      <c r="Q151" s="97" t="s">
        <v>26</v>
      </c>
      <c r="R151" s="97" t="s">
        <v>26</v>
      </c>
      <c r="S151" s="95" t="s">
        <v>24</v>
      </c>
      <c r="T151" s="95" t="s">
        <v>24</v>
      </c>
      <c r="U151" s="97" t="s">
        <v>26</v>
      </c>
      <c r="V151" s="97" t="s">
        <v>26</v>
      </c>
      <c r="W151" s="100" t="s">
        <v>321</v>
      </c>
      <c r="X151" s="97" t="s">
        <v>26</v>
      </c>
      <c r="Y151" s="97" t="s">
        <v>26</v>
      </c>
      <c r="Z151" s="95" t="s">
        <v>24</v>
      </c>
      <c r="AA151" s="95" t="s">
        <v>24</v>
      </c>
      <c r="AB151" s="97" t="s">
        <v>26</v>
      </c>
      <c r="AC151" s="97" t="s">
        <v>26</v>
      </c>
      <c r="AD151" s="97" t="s">
        <v>26</v>
      </c>
      <c r="AE151" s="97" t="s">
        <v>26</v>
      </c>
      <c r="AF151" s="97" t="s">
        <v>26</v>
      </c>
      <c r="AG151" s="95" t="s">
        <v>24</v>
      </c>
      <c r="AH151" s="95" t="s">
        <v>24</v>
      </c>
      <c r="AI151" s="98">
        <v>31</v>
      </c>
      <c r="AJ151" s="98">
        <f t="shared" si="8"/>
        <v>18.56</v>
      </c>
      <c r="AK151" s="98">
        <v>10</v>
      </c>
      <c r="AL151" s="98">
        <v>2</v>
      </c>
      <c r="AM151" s="98">
        <v>0.44</v>
      </c>
      <c r="AN151" s="98"/>
      <c r="AO151" s="98"/>
      <c r="AP151" s="98"/>
      <c r="AQ151" s="98"/>
      <c r="AR151" s="98"/>
      <c r="AS151" s="98"/>
      <c r="AT151" s="98">
        <f t="shared" si="9"/>
        <v>0.44</v>
      </c>
      <c r="AU151" s="99"/>
    </row>
    <row r="152" customFormat="1" ht="34" customHeight="1" spans="1:47">
      <c r="A152" s="92">
        <f t="shared" si="10"/>
        <v>149</v>
      </c>
      <c r="B152" s="93" t="s">
        <v>383</v>
      </c>
      <c r="C152" s="94" t="s">
        <v>378</v>
      </c>
      <c r="D152" s="95" t="s">
        <v>23</v>
      </c>
      <c r="E152" s="95" t="s">
        <v>23</v>
      </c>
      <c r="F152" s="95" t="s">
        <v>24</v>
      </c>
      <c r="G152" s="95" t="s">
        <v>24</v>
      </c>
      <c r="H152" s="95" t="s">
        <v>24</v>
      </c>
      <c r="I152" s="97" t="s">
        <v>26</v>
      </c>
      <c r="J152" s="97" t="s">
        <v>26</v>
      </c>
      <c r="K152" s="100" t="s">
        <v>321</v>
      </c>
      <c r="L152" s="97" t="s">
        <v>26</v>
      </c>
      <c r="M152" s="95" t="s">
        <v>24</v>
      </c>
      <c r="N152" s="97" t="s">
        <v>26</v>
      </c>
      <c r="O152" s="97" t="s">
        <v>26</v>
      </c>
      <c r="P152" s="97" t="s">
        <v>26</v>
      </c>
      <c r="Q152" s="97" t="s">
        <v>26</v>
      </c>
      <c r="R152" s="100" t="s">
        <v>25</v>
      </c>
      <c r="S152" s="95" t="s">
        <v>24</v>
      </c>
      <c r="T152" s="95" t="s">
        <v>24</v>
      </c>
      <c r="U152" s="100" t="s">
        <v>25</v>
      </c>
      <c r="V152" s="100" t="s">
        <v>25</v>
      </c>
      <c r="W152" s="100" t="s">
        <v>25</v>
      </c>
      <c r="X152" s="100" t="s">
        <v>25</v>
      </c>
      <c r="Y152" s="100" t="s">
        <v>25</v>
      </c>
      <c r="Z152" s="95" t="s">
        <v>24</v>
      </c>
      <c r="AA152" s="95" t="s">
        <v>24</v>
      </c>
      <c r="AB152" s="100" t="s">
        <v>25</v>
      </c>
      <c r="AC152" s="100" t="s">
        <v>25</v>
      </c>
      <c r="AD152" s="100" t="s">
        <v>25</v>
      </c>
      <c r="AE152" s="100" t="s">
        <v>25</v>
      </c>
      <c r="AF152" s="100" t="s">
        <v>25</v>
      </c>
      <c r="AG152" s="95" t="s">
        <v>24</v>
      </c>
      <c r="AH152" s="95" t="s">
        <v>24</v>
      </c>
      <c r="AI152" s="98">
        <v>31</v>
      </c>
      <c r="AJ152" s="98">
        <f t="shared" si="8"/>
        <v>7.56</v>
      </c>
      <c r="AK152" s="98">
        <v>10</v>
      </c>
      <c r="AL152" s="98">
        <v>2</v>
      </c>
      <c r="AM152" s="98">
        <v>11.44</v>
      </c>
      <c r="AN152" s="98"/>
      <c r="AO152" s="98"/>
      <c r="AP152" s="98"/>
      <c r="AQ152" s="98"/>
      <c r="AR152" s="98"/>
      <c r="AS152" s="98"/>
      <c r="AT152" s="98">
        <f t="shared" si="9"/>
        <v>11.44</v>
      </c>
      <c r="AU152" s="99"/>
    </row>
    <row r="153" customFormat="1" ht="34" customHeight="1" spans="1:47">
      <c r="A153" s="92">
        <f t="shared" si="10"/>
        <v>150</v>
      </c>
      <c r="B153" s="93" t="s">
        <v>384</v>
      </c>
      <c r="C153" s="94" t="s">
        <v>378</v>
      </c>
      <c r="D153" s="95" t="s">
        <v>23</v>
      </c>
      <c r="E153" s="95" t="s">
        <v>23</v>
      </c>
      <c r="F153" s="95" t="s">
        <v>24</v>
      </c>
      <c r="G153" s="95" t="s">
        <v>24</v>
      </c>
      <c r="H153" s="95" t="s">
        <v>24</v>
      </c>
      <c r="I153" s="97" t="s">
        <v>26</v>
      </c>
      <c r="J153" s="97" t="s">
        <v>26</v>
      </c>
      <c r="K153" s="97" t="s">
        <v>26</v>
      </c>
      <c r="L153" s="97" t="s">
        <v>26</v>
      </c>
      <c r="M153" s="95" t="s">
        <v>24</v>
      </c>
      <c r="N153" s="97" t="s">
        <v>26</v>
      </c>
      <c r="O153" s="97" t="s">
        <v>26</v>
      </c>
      <c r="P153" s="97" t="s">
        <v>26</v>
      </c>
      <c r="Q153" s="97" t="s">
        <v>26</v>
      </c>
      <c r="R153" s="97" t="s">
        <v>26</v>
      </c>
      <c r="S153" s="95" t="s">
        <v>24</v>
      </c>
      <c r="T153" s="95" t="s">
        <v>24</v>
      </c>
      <c r="U153" s="97" t="s">
        <v>26</v>
      </c>
      <c r="V153" s="97" t="s">
        <v>26</v>
      </c>
      <c r="W153" s="97" t="s">
        <v>26</v>
      </c>
      <c r="X153" s="97" t="s">
        <v>26</v>
      </c>
      <c r="Y153" s="97" t="s">
        <v>26</v>
      </c>
      <c r="Z153" s="95" t="s">
        <v>24</v>
      </c>
      <c r="AA153" s="95" t="s">
        <v>24</v>
      </c>
      <c r="AB153" s="97" t="s">
        <v>26</v>
      </c>
      <c r="AC153" s="97" t="s">
        <v>26</v>
      </c>
      <c r="AD153" s="97" t="s">
        <v>26</v>
      </c>
      <c r="AE153" s="97" t="s">
        <v>26</v>
      </c>
      <c r="AF153" s="97" t="s">
        <v>26</v>
      </c>
      <c r="AG153" s="95" t="s">
        <v>24</v>
      </c>
      <c r="AH153" s="95" t="s">
        <v>24</v>
      </c>
      <c r="AI153" s="98">
        <v>31</v>
      </c>
      <c r="AJ153" s="98">
        <f t="shared" si="8"/>
        <v>19</v>
      </c>
      <c r="AK153" s="98">
        <v>10</v>
      </c>
      <c r="AL153" s="98">
        <v>2</v>
      </c>
      <c r="AM153" s="98"/>
      <c r="AN153" s="98"/>
      <c r="AO153" s="98"/>
      <c r="AP153" s="98"/>
      <c r="AQ153" s="98"/>
      <c r="AR153" s="98"/>
      <c r="AS153" s="98"/>
      <c r="AT153" s="98">
        <f t="shared" si="9"/>
        <v>0</v>
      </c>
      <c r="AU153" s="99"/>
    </row>
    <row r="154" customFormat="1" ht="34" customHeight="1" spans="1:47">
      <c r="A154" s="92">
        <f t="shared" si="10"/>
        <v>151</v>
      </c>
      <c r="B154" s="93" t="s">
        <v>385</v>
      </c>
      <c r="C154" s="94" t="s">
        <v>378</v>
      </c>
      <c r="D154" s="95" t="s">
        <v>23</v>
      </c>
      <c r="E154" s="95" t="s">
        <v>23</v>
      </c>
      <c r="F154" s="95" t="s">
        <v>24</v>
      </c>
      <c r="G154" s="95" t="s">
        <v>24</v>
      </c>
      <c r="H154" s="95" t="s">
        <v>24</v>
      </c>
      <c r="I154" s="97" t="s">
        <v>26</v>
      </c>
      <c r="J154" s="97" t="s">
        <v>26</v>
      </c>
      <c r="K154" s="97" t="s">
        <v>26</v>
      </c>
      <c r="L154" s="97" t="s">
        <v>26</v>
      </c>
      <c r="M154" s="95" t="s">
        <v>24</v>
      </c>
      <c r="N154" s="97" t="s">
        <v>26</v>
      </c>
      <c r="O154" s="97" t="s">
        <v>26</v>
      </c>
      <c r="P154" s="97" t="s">
        <v>26</v>
      </c>
      <c r="Q154" s="97" t="s">
        <v>26</v>
      </c>
      <c r="R154" s="97" t="s">
        <v>26</v>
      </c>
      <c r="S154" s="95" t="s">
        <v>24</v>
      </c>
      <c r="T154" s="95" t="s">
        <v>24</v>
      </c>
      <c r="U154" s="97" t="s">
        <v>26</v>
      </c>
      <c r="V154" s="97" t="s">
        <v>26</v>
      </c>
      <c r="W154" s="97" t="s">
        <v>26</v>
      </c>
      <c r="X154" s="97" t="s">
        <v>26</v>
      </c>
      <c r="Y154" s="97" t="s">
        <v>26</v>
      </c>
      <c r="Z154" s="95" t="s">
        <v>24</v>
      </c>
      <c r="AA154" s="95" t="s">
        <v>24</v>
      </c>
      <c r="AB154" s="97" t="s">
        <v>26</v>
      </c>
      <c r="AC154" s="97" t="s">
        <v>26</v>
      </c>
      <c r="AD154" s="97" t="s">
        <v>26</v>
      </c>
      <c r="AE154" s="97" t="s">
        <v>26</v>
      </c>
      <c r="AF154" s="97" t="s">
        <v>26</v>
      </c>
      <c r="AG154" s="95" t="s">
        <v>24</v>
      </c>
      <c r="AH154" s="95" t="s">
        <v>24</v>
      </c>
      <c r="AI154" s="98">
        <v>31</v>
      </c>
      <c r="AJ154" s="98">
        <f t="shared" si="8"/>
        <v>19</v>
      </c>
      <c r="AK154" s="98">
        <v>10</v>
      </c>
      <c r="AL154" s="98">
        <v>2</v>
      </c>
      <c r="AM154" s="98"/>
      <c r="AN154" s="98"/>
      <c r="AO154" s="98"/>
      <c r="AP154" s="98"/>
      <c r="AQ154" s="98"/>
      <c r="AR154" s="98"/>
      <c r="AS154" s="98"/>
      <c r="AT154" s="98">
        <f t="shared" si="9"/>
        <v>0</v>
      </c>
      <c r="AU154" s="99"/>
    </row>
    <row r="155" customFormat="1" ht="34" customHeight="1" spans="1:47">
      <c r="A155" s="92">
        <f t="shared" si="10"/>
        <v>152</v>
      </c>
      <c r="B155" s="106" t="s">
        <v>240</v>
      </c>
      <c r="C155" s="94" t="s">
        <v>241</v>
      </c>
      <c r="D155" s="95" t="s">
        <v>23</v>
      </c>
      <c r="E155" s="95" t="s">
        <v>23</v>
      </c>
      <c r="F155" s="95" t="s">
        <v>24</v>
      </c>
      <c r="G155" s="95" t="s">
        <v>24</v>
      </c>
      <c r="H155" s="95" t="s">
        <v>24</v>
      </c>
      <c r="I155" s="97" t="s">
        <v>26</v>
      </c>
      <c r="J155" s="97" t="s">
        <v>26</v>
      </c>
      <c r="K155" s="97" t="s">
        <v>26</v>
      </c>
      <c r="L155" s="97" t="s">
        <v>26</v>
      </c>
      <c r="M155" s="95" t="s">
        <v>24</v>
      </c>
      <c r="N155" s="97" t="s">
        <v>26</v>
      </c>
      <c r="O155" s="97" t="s">
        <v>26</v>
      </c>
      <c r="P155" s="97" t="s">
        <v>26</v>
      </c>
      <c r="Q155" s="97" t="s">
        <v>26</v>
      </c>
      <c r="R155" s="97" t="s">
        <v>26</v>
      </c>
      <c r="S155" s="95" t="s">
        <v>24</v>
      </c>
      <c r="T155" s="95" t="s">
        <v>24</v>
      </c>
      <c r="U155" s="97" t="s">
        <v>26</v>
      </c>
      <c r="V155" s="97" t="s">
        <v>26</v>
      </c>
      <c r="W155" s="97" t="s">
        <v>26</v>
      </c>
      <c r="X155" s="97" t="s">
        <v>26</v>
      </c>
      <c r="Y155" s="97" t="s">
        <v>26</v>
      </c>
      <c r="Z155" s="95" t="s">
        <v>24</v>
      </c>
      <c r="AA155" s="95" t="s">
        <v>24</v>
      </c>
      <c r="AB155" s="97" t="s">
        <v>26</v>
      </c>
      <c r="AC155" s="97" t="s">
        <v>26</v>
      </c>
      <c r="AD155" s="97" t="s">
        <v>26</v>
      </c>
      <c r="AE155" s="97" t="s">
        <v>26</v>
      </c>
      <c r="AF155" s="97" t="s">
        <v>26</v>
      </c>
      <c r="AG155" s="98" t="s">
        <v>34</v>
      </c>
      <c r="AH155" s="98" t="s">
        <v>34</v>
      </c>
      <c r="AI155" s="98">
        <v>31</v>
      </c>
      <c r="AJ155" s="98">
        <f t="shared" si="8"/>
        <v>19</v>
      </c>
      <c r="AK155" s="98">
        <v>10</v>
      </c>
      <c r="AL155" s="98">
        <v>2</v>
      </c>
      <c r="AM155" s="98"/>
      <c r="AN155" s="98"/>
      <c r="AO155" s="98"/>
      <c r="AP155" s="98"/>
      <c r="AQ155" s="98"/>
      <c r="AR155" s="98"/>
      <c r="AS155" s="98"/>
      <c r="AT155" s="98">
        <f t="shared" si="9"/>
        <v>0</v>
      </c>
      <c r="AU155" s="99" t="s">
        <v>371</v>
      </c>
    </row>
    <row r="156" customFormat="1" ht="34" customHeight="1" spans="1:47">
      <c r="A156" s="92">
        <f t="shared" si="10"/>
        <v>153</v>
      </c>
      <c r="B156" s="93" t="s">
        <v>242</v>
      </c>
      <c r="C156" s="94" t="s">
        <v>241</v>
      </c>
      <c r="D156" s="95" t="s">
        <v>23</v>
      </c>
      <c r="E156" s="95" t="s">
        <v>23</v>
      </c>
      <c r="F156" s="95" t="s">
        <v>24</v>
      </c>
      <c r="G156" s="95" t="s">
        <v>24</v>
      </c>
      <c r="H156" s="95" t="s">
        <v>24</v>
      </c>
      <c r="I156" s="97" t="s">
        <v>26</v>
      </c>
      <c r="J156" s="97" t="s">
        <v>26</v>
      </c>
      <c r="K156" s="97" t="s">
        <v>26</v>
      </c>
      <c r="L156" s="97" t="s">
        <v>26</v>
      </c>
      <c r="M156" s="95" t="s">
        <v>24</v>
      </c>
      <c r="N156" s="97" t="s">
        <v>26</v>
      </c>
      <c r="O156" s="97" t="s">
        <v>26</v>
      </c>
      <c r="P156" s="97" t="s">
        <v>26</v>
      </c>
      <c r="Q156" s="97" t="s">
        <v>26</v>
      </c>
      <c r="R156" s="97" t="s">
        <v>26</v>
      </c>
      <c r="S156" s="95" t="s">
        <v>24</v>
      </c>
      <c r="T156" s="95" t="s">
        <v>24</v>
      </c>
      <c r="U156" s="97" t="s">
        <v>26</v>
      </c>
      <c r="V156" s="97" t="s">
        <v>26</v>
      </c>
      <c r="W156" s="97" t="s">
        <v>26</v>
      </c>
      <c r="X156" s="97" t="s">
        <v>26</v>
      </c>
      <c r="Y156" s="97" t="s">
        <v>26</v>
      </c>
      <c r="Z156" s="95" t="s">
        <v>24</v>
      </c>
      <c r="AA156" s="95" t="s">
        <v>24</v>
      </c>
      <c r="AB156" s="97" t="s">
        <v>26</v>
      </c>
      <c r="AC156" s="97" t="s">
        <v>26</v>
      </c>
      <c r="AD156" s="97" t="s">
        <v>26</v>
      </c>
      <c r="AE156" s="97" t="s">
        <v>26</v>
      </c>
      <c r="AF156" s="97" t="s">
        <v>26</v>
      </c>
      <c r="AG156" s="95" t="s">
        <v>24</v>
      </c>
      <c r="AH156" s="95" t="s">
        <v>24</v>
      </c>
      <c r="AI156" s="98">
        <v>31</v>
      </c>
      <c r="AJ156" s="98">
        <f t="shared" si="8"/>
        <v>19</v>
      </c>
      <c r="AK156" s="98">
        <v>10</v>
      </c>
      <c r="AL156" s="98">
        <v>2</v>
      </c>
      <c r="AM156" s="98"/>
      <c r="AN156" s="98"/>
      <c r="AO156" s="98"/>
      <c r="AP156" s="98"/>
      <c r="AQ156" s="98"/>
      <c r="AR156" s="98"/>
      <c r="AS156" s="98"/>
      <c r="AT156" s="98">
        <f t="shared" si="9"/>
        <v>0</v>
      </c>
      <c r="AU156" s="99"/>
    </row>
    <row r="157" customFormat="1" ht="34" customHeight="1" spans="1:47">
      <c r="A157" s="92">
        <f t="shared" si="10"/>
        <v>154</v>
      </c>
      <c r="B157" s="93" t="s">
        <v>243</v>
      </c>
      <c r="C157" s="94" t="s">
        <v>241</v>
      </c>
      <c r="D157" s="95" t="s">
        <v>23</v>
      </c>
      <c r="E157" s="95" t="s">
        <v>23</v>
      </c>
      <c r="F157" s="95" t="s">
        <v>24</v>
      </c>
      <c r="G157" s="95" t="s">
        <v>24</v>
      </c>
      <c r="H157" s="95" t="s">
        <v>24</v>
      </c>
      <c r="I157" s="97" t="s">
        <v>26</v>
      </c>
      <c r="J157" s="97" t="s">
        <v>26</v>
      </c>
      <c r="K157" s="97" t="s">
        <v>26</v>
      </c>
      <c r="L157" s="97" t="s">
        <v>26</v>
      </c>
      <c r="M157" s="95" t="s">
        <v>24</v>
      </c>
      <c r="N157" s="97" t="s">
        <v>26</v>
      </c>
      <c r="O157" s="97" t="s">
        <v>26</v>
      </c>
      <c r="P157" s="97" t="s">
        <v>26</v>
      </c>
      <c r="Q157" s="97" t="s">
        <v>26</v>
      </c>
      <c r="R157" s="97" t="s">
        <v>26</v>
      </c>
      <c r="S157" s="95" t="s">
        <v>24</v>
      </c>
      <c r="T157" s="95" t="s">
        <v>24</v>
      </c>
      <c r="U157" s="97" t="s">
        <v>26</v>
      </c>
      <c r="V157" s="97" t="s">
        <v>26</v>
      </c>
      <c r="W157" s="97" t="s">
        <v>26</v>
      </c>
      <c r="X157" s="97" t="s">
        <v>26</v>
      </c>
      <c r="Y157" s="97" t="s">
        <v>26</v>
      </c>
      <c r="Z157" s="95" t="s">
        <v>24</v>
      </c>
      <c r="AA157" s="95" t="s">
        <v>24</v>
      </c>
      <c r="AB157" s="108" t="s">
        <v>372</v>
      </c>
      <c r="AC157" s="108" t="s">
        <v>372</v>
      </c>
      <c r="AD157" s="108" t="s">
        <v>372</v>
      </c>
      <c r="AE157" s="108" t="s">
        <v>372</v>
      </c>
      <c r="AF157" s="108" t="s">
        <v>372</v>
      </c>
      <c r="AG157" s="95" t="s">
        <v>24</v>
      </c>
      <c r="AH157" s="95" t="s">
        <v>24</v>
      </c>
      <c r="AI157" s="98">
        <v>31</v>
      </c>
      <c r="AJ157" s="98">
        <f t="shared" si="8"/>
        <v>19</v>
      </c>
      <c r="AK157" s="98">
        <v>10</v>
      </c>
      <c r="AL157" s="98">
        <v>2</v>
      </c>
      <c r="AM157" s="98"/>
      <c r="AN157" s="98"/>
      <c r="AO157" s="98"/>
      <c r="AP157" s="98"/>
      <c r="AQ157" s="98"/>
      <c r="AR157" s="98"/>
      <c r="AS157" s="98"/>
      <c r="AT157" s="98">
        <f t="shared" si="9"/>
        <v>0</v>
      </c>
      <c r="AU157" s="99"/>
    </row>
    <row r="158" customFormat="1" ht="34" customHeight="1" spans="1:47">
      <c r="A158" s="92">
        <f t="shared" si="10"/>
        <v>155</v>
      </c>
      <c r="B158" s="101" t="s">
        <v>386</v>
      </c>
      <c r="C158" s="94" t="s">
        <v>241</v>
      </c>
      <c r="D158" s="98" t="s">
        <v>34</v>
      </c>
      <c r="E158" s="98" t="s">
        <v>34</v>
      </c>
      <c r="F158" s="98" t="s">
        <v>34</v>
      </c>
      <c r="G158" s="98" t="s">
        <v>34</v>
      </c>
      <c r="H158" s="98" t="s">
        <v>34</v>
      </c>
      <c r="I158" s="98" t="s">
        <v>34</v>
      </c>
      <c r="J158" s="98" t="s">
        <v>34</v>
      </c>
      <c r="K158" s="98" t="s">
        <v>34</v>
      </c>
      <c r="L158" s="98" t="s">
        <v>34</v>
      </c>
      <c r="M158" s="98" t="s">
        <v>34</v>
      </c>
      <c r="N158" s="98" t="s">
        <v>34</v>
      </c>
      <c r="O158" s="98" t="s">
        <v>34</v>
      </c>
      <c r="P158" s="98" t="s">
        <v>34</v>
      </c>
      <c r="Q158" s="98" t="s">
        <v>34</v>
      </c>
      <c r="R158" s="98" t="s">
        <v>34</v>
      </c>
      <c r="S158" s="98" t="s">
        <v>34</v>
      </c>
      <c r="T158" s="98" t="s">
        <v>34</v>
      </c>
      <c r="U158" s="97" t="s">
        <v>26</v>
      </c>
      <c r="V158" s="97" t="s">
        <v>26</v>
      </c>
      <c r="W158" s="97" t="s">
        <v>26</v>
      </c>
      <c r="X158" s="98" t="s">
        <v>34</v>
      </c>
      <c r="Y158" s="98" t="s">
        <v>34</v>
      </c>
      <c r="Z158" s="98" t="s">
        <v>34</v>
      </c>
      <c r="AA158" s="98" t="s">
        <v>34</v>
      </c>
      <c r="AB158" s="98" t="s">
        <v>34</v>
      </c>
      <c r="AC158" s="98" t="s">
        <v>34</v>
      </c>
      <c r="AD158" s="98" t="s">
        <v>34</v>
      </c>
      <c r="AE158" s="98" t="s">
        <v>34</v>
      </c>
      <c r="AF158" s="98" t="s">
        <v>34</v>
      </c>
      <c r="AG158" s="98" t="s">
        <v>34</v>
      </c>
      <c r="AH158" s="98" t="s">
        <v>34</v>
      </c>
      <c r="AI158" s="98">
        <v>31</v>
      </c>
      <c r="AJ158" s="98">
        <f t="shared" si="8"/>
        <v>3</v>
      </c>
      <c r="AK158" s="98">
        <v>10</v>
      </c>
      <c r="AL158" s="98">
        <v>0</v>
      </c>
      <c r="AM158" s="98">
        <v>18</v>
      </c>
      <c r="AN158" s="98"/>
      <c r="AO158" s="98"/>
      <c r="AP158" s="98"/>
      <c r="AQ158" s="98"/>
      <c r="AR158" s="98"/>
      <c r="AS158" s="98"/>
      <c r="AT158" s="98">
        <f t="shared" si="9"/>
        <v>18</v>
      </c>
      <c r="AU158" s="99" t="s">
        <v>387</v>
      </c>
    </row>
    <row r="159" customFormat="1" ht="34" customHeight="1" spans="1:47">
      <c r="A159" s="92">
        <f t="shared" si="10"/>
        <v>156</v>
      </c>
      <c r="B159" s="101" t="s">
        <v>388</v>
      </c>
      <c r="C159" s="94" t="s">
        <v>241</v>
      </c>
      <c r="D159" s="98" t="s">
        <v>34</v>
      </c>
      <c r="E159" s="98" t="s">
        <v>34</v>
      </c>
      <c r="F159" s="98" t="s">
        <v>34</v>
      </c>
      <c r="G159" s="98" t="s">
        <v>34</v>
      </c>
      <c r="H159" s="98" t="s">
        <v>34</v>
      </c>
      <c r="I159" s="98" t="s">
        <v>34</v>
      </c>
      <c r="J159" s="98" t="s">
        <v>34</v>
      </c>
      <c r="K159" s="98" t="s">
        <v>34</v>
      </c>
      <c r="L159" s="98" t="s">
        <v>34</v>
      </c>
      <c r="M159" s="98" t="s">
        <v>34</v>
      </c>
      <c r="N159" s="98" t="s">
        <v>34</v>
      </c>
      <c r="O159" s="98" t="s">
        <v>34</v>
      </c>
      <c r="P159" s="98" t="s">
        <v>34</v>
      </c>
      <c r="Q159" s="98" t="s">
        <v>34</v>
      </c>
      <c r="R159" s="98" t="s">
        <v>34</v>
      </c>
      <c r="S159" s="98" t="s">
        <v>34</v>
      </c>
      <c r="T159" s="98" t="s">
        <v>34</v>
      </c>
      <c r="U159" s="97" t="s">
        <v>26</v>
      </c>
      <c r="V159" s="97" t="s">
        <v>26</v>
      </c>
      <c r="W159" s="97" t="s">
        <v>26</v>
      </c>
      <c r="X159" s="97" t="s">
        <v>26</v>
      </c>
      <c r="Y159" s="97" t="s">
        <v>26</v>
      </c>
      <c r="Z159" s="95" t="s">
        <v>24</v>
      </c>
      <c r="AA159" s="95" t="s">
        <v>24</v>
      </c>
      <c r="AB159" s="97" t="s">
        <v>26</v>
      </c>
      <c r="AC159" s="97" t="s">
        <v>26</v>
      </c>
      <c r="AD159" s="97" t="s">
        <v>26</v>
      </c>
      <c r="AE159" s="97" t="s">
        <v>26</v>
      </c>
      <c r="AF159" s="97" t="s">
        <v>26</v>
      </c>
      <c r="AG159" s="95" t="s">
        <v>24</v>
      </c>
      <c r="AH159" s="95" t="s">
        <v>24</v>
      </c>
      <c r="AI159" s="98">
        <v>31</v>
      </c>
      <c r="AJ159" s="98">
        <f t="shared" si="8"/>
        <v>10</v>
      </c>
      <c r="AK159" s="98">
        <v>10</v>
      </c>
      <c r="AL159" s="98">
        <v>0</v>
      </c>
      <c r="AM159" s="98">
        <v>11</v>
      </c>
      <c r="AN159" s="98"/>
      <c r="AO159" s="98"/>
      <c r="AP159" s="98"/>
      <c r="AQ159" s="98"/>
      <c r="AR159" s="98"/>
      <c r="AS159" s="98"/>
      <c r="AT159" s="98">
        <f t="shared" si="9"/>
        <v>11</v>
      </c>
      <c r="AU159" s="99" t="s">
        <v>358</v>
      </c>
    </row>
    <row r="160" customFormat="1" ht="34" customHeight="1" spans="1:47">
      <c r="A160" s="92">
        <f t="shared" si="10"/>
        <v>157</v>
      </c>
      <c r="B160" s="101" t="s">
        <v>389</v>
      </c>
      <c r="C160" s="94" t="s">
        <v>241</v>
      </c>
      <c r="D160" s="98" t="s">
        <v>34</v>
      </c>
      <c r="E160" s="98" t="s">
        <v>34</v>
      </c>
      <c r="F160" s="98" t="s">
        <v>34</v>
      </c>
      <c r="G160" s="98" t="s">
        <v>34</v>
      </c>
      <c r="H160" s="98" t="s">
        <v>34</v>
      </c>
      <c r="I160" s="98" t="s">
        <v>34</v>
      </c>
      <c r="J160" s="98" t="s">
        <v>34</v>
      </c>
      <c r="K160" s="98" t="s">
        <v>34</v>
      </c>
      <c r="L160" s="98" t="s">
        <v>34</v>
      </c>
      <c r="M160" s="98" t="s">
        <v>34</v>
      </c>
      <c r="N160" s="98" t="s">
        <v>34</v>
      </c>
      <c r="O160" s="98" t="s">
        <v>34</v>
      </c>
      <c r="P160" s="98" t="s">
        <v>34</v>
      </c>
      <c r="Q160" s="98" t="s">
        <v>34</v>
      </c>
      <c r="R160" s="98" t="s">
        <v>34</v>
      </c>
      <c r="S160" s="98" t="s">
        <v>34</v>
      </c>
      <c r="T160" s="98" t="s">
        <v>34</v>
      </c>
      <c r="U160" s="98" t="s">
        <v>34</v>
      </c>
      <c r="V160" s="98" t="s">
        <v>34</v>
      </c>
      <c r="W160" s="98" t="s">
        <v>34</v>
      </c>
      <c r="X160" s="97" t="s">
        <v>26</v>
      </c>
      <c r="Y160" s="97" t="s">
        <v>26</v>
      </c>
      <c r="Z160" s="95" t="s">
        <v>24</v>
      </c>
      <c r="AA160" s="95" t="s">
        <v>24</v>
      </c>
      <c r="AB160" s="97" t="s">
        <v>26</v>
      </c>
      <c r="AC160" s="97" t="s">
        <v>26</v>
      </c>
      <c r="AD160" s="97" t="s">
        <v>26</v>
      </c>
      <c r="AE160" s="97" t="s">
        <v>26</v>
      </c>
      <c r="AF160" s="97" t="s">
        <v>26</v>
      </c>
      <c r="AG160" s="95" t="s">
        <v>24</v>
      </c>
      <c r="AH160" s="95" t="s">
        <v>24</v>
      </c>
      <c r="AI160" s="98">
        <v>31</v>
      </c>
      <c r="AJ160" s="98">
        <f t="shared" si="8"/>
        <v>7</v>
      </c>
      <c r="AK160" s="98">
        <v>10</v>
      </c>
      <c r="AL160" s="98">
        <v>0</v>
      </c>
      <c r="AM160" s="98">
        <v>14</v>
      </c>
      <c r="AN160" s="98"/>
      <c r="AO160" s="98"/>
      <c r="AP160" s="98"/>
      <c r="AQ160" s="98"/>
      <c r="AR160" s="98"/>
      <c r="AS160" s="98"/>
      <c r="AT160" s="98">
        <f t="shared" si="9"/>
        <v>14</v>
      </c>
      <c r="AU160" s="99" t="s">
        <v>390</v>
      </c>
    </row>
    <row r="161" ht="34" customHeight="1" spans="1:47">
      <c r="A161" s="92">
        <f t="shared" si="10"/>
        <v>158</v>
      </c>
      <c r="B161" s="93" t="s">
        <v>248</v>
      </c>
      <c r="C161" s="94" t="s">
        <v>246</v>
      </c>
      <c r="D161" s="95" t="s">
        <v>23</v>
      </c>
      <c r="E161" s="95" t="s">
        <v>23</v>
      </c>
      <c r="F161" s="95" t="s">
        <v>24</v>
      </c>
      <c r="G161" s="95" t="s">
        <v>24</v>
      </c>
      <c r="H161" s="95" t="s">
        <v>24</v>
      </c>
      <c r="I161" s="108" t="s">
        <v>372</v>
      </c>
      <c r="J161" s="108" t="s">
        <v>372</v>
      </c>
      <c r="K161" s="108" t="s">
        <v>372</v>
      </c>
      <c r="L161" s="108" t="s">
        <v>372</v>
      </c>
      <c r="M161" s="95" t="s">
        <v>24</v>
      </c>
      <c r="N161" s="108" t="s">
        <v>372</v>
      </c>
      <c r="O161" s="108" t="s">
        <v>372</v>
      </c>
      <c r="P161" s="108" t="s">
        <v>372</v>
      </c>
      <c r="Q161" s="108" t="s">
        <v>372</v>
      </c>
      <c r="R161" s="108" t="s">
        <v>372</v>
      </c>
      <c r="S161" s="95" t="s">
        <v>24</v>
      </c>
      <c r="T161" s="95" t="s">
        <v>24</v>
      </c>
      <c r="U161" s="108" t="s">
        <v>372</v>
      </c>
      <c r="V161" s="108" t="s">
        <v>372</v>
      </c>
      <c r="W161" s="108" t="s">
        <v>372</v>
      </c>
      <c r="X161" s="108" t="s">
        <v>372</v>
      </c>
      <c r="Y161" s="108" t="s">
        <v>372</v>
      </c>
      <c r="Z161" s="95" t="s">
        <v>24</v>
      </c>
      <c r="AA161" s="95" t="s">
        <v>24</v>
      </c>
      <c r="AB161" s="97" t="s">
        <v>26</v>
      </c>
      <c r="AC161" s="97" t="s">
        <v>26</v>
      </c>
      <c r="AD161" s="97" t="s">
        <v>26</v>
      </c>
      <c r="AE161" s="97" t="s">
        <v>26</v>
      </c>
      <c r="AF161" s="97" t="s">
        <v>26</v>
      </c>
      <c r="AG161" s="95" t="s">
        <v>24</v>
      </c>
      <c r="AH161" s="95" t="s">
        <v>24</v>
      </c>
      <c r="AI161" s="98">
        <v>31</v>
      </c>
      <c r="AJ161" s="98">
        <f t="shared" si="8"/>
        <v>19</v>
      </c>
      <c r="AK161" s="98">
        <v>10</v>
      </c>
      <c r="AL161" s="98">
        <v>2</v>
      </c>
      <c r="AM161" s="98"/>
      <c r="AN161" s="98"/>
      <c r="AO161" s="98"/>
      <c r="AP161" s="98"/>
      <c r="AQ161" s="98"/>
      <c r="AR161" s="98"/>
      <c r="AS161" s="98"/>
      <c r="AT161" s="98">
        <f t="shared" si="9"/>
        <v>0</v>
      </c>
      <c r="AU161" s="99"/>
    </row>
    <row r="162" customFormat="1" ht="34" customHeight="1" spans="1:47">
      <c r="A162" s="92">
        <f t="shared" si="10"/>
        <v>159</v>
      </c>
      <c r="B162" s="93" t="s">
        <v>249</v>
      </c>
      <c r="C162" s="94" t="s">
        <v>250</v>
      </c>
      <c r="D162" s="95" t="s">
        <v>23</v>
      </c>
      <c r="E162" s="95" t="s">
        <v>23</v>
      </c>
      <c r="F162" s="95" t="s">
        <v>24</v>
      </c>
      <c r="G162" s="95" t="s">
        <v>24</v>
      </c>
      <c r="H162" s="95" t="s">
        <v>24</v>
      </c>
      <c r="I162" s="97" t="s">
        <v>26</v>
      </c>
      <c r="J162" s="97" t="s">
        <v>26</v>
      </c>
      <c r="K162" s="97" t="s">
        <v>26</v>
      </c>
      <c r="L162" s="97" t="s">
        <v>26</v>
      </c>
      <c r="M162" s="95" t="s">
        <v>24</v>
      </c>
      <c r="N162" s="97" t="s">
        <v>26</v>
      </c>
      <c r="O162" s="97" t="s">
        <v>26</v>
      </c>
      <c r="P162" s="97" t="s">
        <v>26</v>
      </c>
      <c r="Q162" s="97" t="s">
        <v>26</v>
      </c>
      <c r="R162" s="97" t="s">
        <v>26</v>
      </c>
      <c r="S162" s="95" t="s">
        <v>24</v>
      </c>
      <c r="T162" s="95" t="s">
        <v>24</v>
      </c>
      <c r="U162" s="97" t="s">
        <v>26</v>
      </c>
      <c r="V162" s="97" t="s">
        <v>26</v>
      </c>
      <c r="W162" s="97" t="s">
        <v>26</v>
      </c>
      <c r="X162" s="97" t="s">
        <v>26</v>
      </c>
      <c r="Y162" s="97" t="s">
        <v>26</v>
      </c>
      <c r="Z162" s="95" t="s">
        <v>24</v>
      </c>
      <c r="AA162" s="95" t="s">
        <v>24</v>
      </c>
      <c r="AB162" s="97" t="s">
        <v>26</v>
      </c>
      <c r="AC162" s="97" t="s">
        <v>26</v>
      </c>
      <c r="AD162" s="97" t="s">
        <v>26</v>
      </c>
      <c r="AE162" s="97" t="s">
        <v>26</v>
      </c>
      <c r="AF162" s="97" t="s">
        <v>26</v>
      </c>
      <c r="AG162" s="95" t="s">
        <v>24</v>
      </c>
      <c r="AH162" s="95" t="s">
        <v>24</v>
      </c>
      <c r="AI162" s="98">
        <v>31</v>
      </c>
      <c r="AJ162" s="98">
        <f t="shared" si="8"/>
        <v>19</v>
      </c>
      <c r="AK162" s="98">
        <v>10</v>
      </c>
      <c r="AL162" s="98">
        <v>2</v>
      </c>
      <c r="AM162" s="98"/>
      <c r="AN162" s="98"/>
      <c r="AO162" s="98"/>
      <c r="AP162" s="98"/>
      <c r="AQ162" s="98"/>
      <c r="AR162" s="98"/>
      <c r="AS162" s="98"/>
      <c r="AT162" s="98">
        <f t="shared" si="9"/>
        <v>0</v>
      </c>
      <c r="AU162" s="99"/>
    </row>
    <row r="163" customFormat="1" ht="34" customHeight="1" spans="1:47">
      <c r="A163" s="92">
        <f t="shared" si="10"/>
        <v>160</v>
      </c>
      <c r="B163" s="93" t="s">
        <v>109</v>
      </c>
      <c r="C163" s="94" t="s">
        <v>250</v>
      </c>
      <c r="D163" s="95" t="s">
        <v>23</v>
      </c>
      <c r="E163" s="95" t="s">
        <v>23</v>
      </c>
      <c r="F163" s="95" t="s">
        <v>24</v>
      </c>
      <c r="G163" s="95" t="s">
        <v>24</v>
      </c>
      <c r="H163" s="95" t="s">
        <v>24</v>
      </c>
      <c r="I163" s="97" t="s">
        <v>26</v>
      </c>
      <c r="J163" s="97" t="s">
        <v>26</v>
      </c>
      <c r="K163" s="97" t="s">
        <v>26</v>
      </c>
      <c r="L163" s="97" t="s">
        <v>26</v>
      </c>
      <c r="M163" s="95" t="s">
        <v>24</v>
      </c>
      <c r="N163" s="97" t="s">
        <v>26</v>
      </c>
      <c r="O163" s="97" t="s">
        <v>26</v>
      </c>
      <c r="P163" s="97" t="s">
        <v>26</v>
      </c>
      <c r="Q163" s="97" t="s">
        <v>26</v>
      </c>
      <c r="R163" s="97" t="s">
        <v>26</v>
      </c>
      <c r="S163" s="95" t="s">
        <v>24</v>
      </c>
      <c r="T163" s="95" t="s">
        <v>24</v>
      </c>
      <c r="U163" s="97" t="s">
        <v>26</v>
      </c>
      <c r="V163" s="97" t="s">
        <v>26</v>
      </c>
      <c r="W163" s="97" t="s">
        <v>26</v>
      </c>
      <c r="X163" s="97" t="s">
        <v>26</v>
      </c>
      <c r="Y163" s="97" t="s">
        <v>26</v>
      </c>
      <c r="Z163" s="95" t="s">
        <v>24</v>
      </c>
      <c r="AA163" s="95" t="s">
        <v>24</v>
      </c>
      <c r="AB163" s="97" t="s">
        <v>26</v>
      </c>
      <c r="AC163" s="97" t="s">
        <v>26</v>
      </c>
      <c r="AD163" s="97" t="s">
        <v>26</v>
      </c>
      <c r="AE163" s="97" t="s">
        <v>26</v>
      </c>
      <c r="AF163" s="100" t="s">
        <v>321</v>
      </c>
      <c r="AG163" s="95" t="s">
        <v>24</v>
      </c>
      <c r="AH163" s="95" t="s">
        <v>24</v>
      </c>
      <c r="AI163" s="98">
        <v>31</v>
      </c>
      <c r="AJ163" s="98">
        <f t="shared" si="8"/>
        <v>18.56</v>
      </c>
      <c r="AK163" s="98">
        <v>10</v>
      </c>
      <c r="AL163" s="98">
        <v>2</v>
      </c>
      <c r="AM163" s="98">
        <v>0.44</v>
      </c>
      <c r="AN163" s="98"/>
      <c r="AO163" s="98"/>
      <c r="AP163" s="98"/>
      <c r="AQ163" s="98"/>
      <c r="AR163" s="98"/>
      <c r="AS163" s="98"/>
      <c r="AT163" s="98">
        <f t="shared" si="9"/>
        <v>0.44</v>
      </c>
      <c r="AU163" s="99"/>
    </row>
    <row r="164" customFormat="1" ht="34" customHeight="1" spans="1:47">
      <c r="A164" s="92">
        <f t="shared" si="10"/>
        <v>161</v>
      </c>
      <c r="B164" s="93" t="s">
        <v>87</v>
      </c>
      <c r="C164" s="94" t="s">
        <v>250</v>
      </c>
      <c r="D164" s="95" t="s">
        <v>23</v>
      </c>
      <c r="E164" s="95" t="s">
        <v>23</v>
      </c>
      <c r="F164" s="95" t="s">
        <v>24</v>
      </c>
      <c r="G164" s="95" t="s">
        <v>24</v>
      </c>
      <c r="H164" s="95" t="s">
        <v>24</v>
      </c>
      <c r="I164" s="97" t="s">
        <v>26</v>
      </c>
      <c r="J164" s="97" t="s">
        <v>26</v>
      </c>
      <c r="K164" s="97" t="s">
        <v>26</v>
      </c>
      <c r="L164" s="97" t="s">
        <v>26</v>
      </c>
      <c r="M164" s="95" t="s">
        <v>24</v>
      </c>
      <c r="N164" s="97" t="s">
        <v>26</v>
      </c>
      <c r="O164" s="97" t="s">
        <v>26</v>
      </c>
      <c r="P164" s="97" t="s">
        <v>26</v>
      </c>
      <c r="Q164" s="97" t="s">
        <v>26</v>
      </c>
      <c r="R164" s="97" t="s">
        <v>26</v>
      </c>
      <c r="S164" s="95" t="s">
        <v>24</v>
      </c>
      <c r="T164" s="95" t="s">
        <v>24</v>
      </c>
      <c r="U164" s="97" t="s">
        <v>26</v>
      </c>
      <c r="V164" s="97" t="s">
        <v>26</v>
      </c>
      <c r="W164" s="97" t="s">
        <v>26</v>
      </c>
      <c r="X164" s="97" t="s">
        <v>26</v>
      </c>
      <c r="Y164" s="97" t="s">
        <v>26</v>
      </c>
      <c r="Z164" s="95" t="s">
        <v>24</v>
      </c>
      <c r="AA164" s="95" t="s">
        <v>24</v>
      </c>
      <c r="AB164" s="97" t="s">
        <v>26</v>
      </c>
      <c r="AC164" s="97" t="s">
        <v>26</v>
      </c>
      <c r="AD164" s="97" t="s">
        <v>26</v>
      </c>
      <c r="AE164" s="97" t="s">
        <v>26</v>
      </c>
      <c r="AF164" s="97" t="s">
        <v>26</v>
      </c>
      <c r="AG164" s="95" t="s">
        <v>24</v>
      </c>
      <c r="AH164" s="95" t="s">
        <v>24</v>
      </c>
      <c r="AI164" s="98">
        <v>31</v>
      </c>
      <c r="AJ164" s="98">
        <f t="shared" si="8"/>
        <v>19</v>
      </c>
      <c r="AK164" s="98">
        <v>10</v>
      </c>
      <c r="AL164" s="98">
        <v>2</v>
      </c>
      <c r="AM164" s="98"/>
      <c r="AN164" s="98"/>
      <c r="AO164" s="98"/>
      <c r="AP164" s="98"/>
      <c r="AQ164" s="98"/>
      <c r="AR164" s="98"/>
      <c r="AS164" s="98"/>
      <c r="AT164" s="98">
        <f t="shared" si="9"/>
        <v>0</v>
      </c>
      <c r="AU164" s="99"/>
    </row>
    <row r="165" customFormat="1" ht="34" customHeight="1" spans="1:47">
      <c r="A165" s="92">
        <f t="shared" si="10"/>
        <v>162</v>
      </c>
      <c r="B165" s="93" t="s">
        <v>391</v>
      </c>
      <c r="C165" s="94" t="s">
        <v>250</v>
      </c>
      <c r="D165" s="95" t="s">
        <v>23</v>
      </c>
      <c r="E165" s="95" t="s">
        <v>23</v>
      </c>
      <c r="F165" s="95" t="s">
        <v>24</v>
      </c>
      <c r="G165" s="95" t="s">
        <v>24</v>
      </c>
      <c r="H165" s="95" t="s">
        <v>24</v>
      </c>
      <c r="I165" s="97" t="s">
        <v>26</v>
      </c>
      <c r="J165" s="97" t="s">
        <v>26</v>
      </c>
      <c r="K165" s="97" t="s">
        <v>26</v>
      </c>
      <c r="L165" s="97" t="s">
        <v>26</v>
      </c>
      <c r="M165" s="95" t="s">
        <v>24</v>
      </c>
      <c r="N165" s="97" t="s">
        <v>26</v>
      </c>
      <c r="O165" s="97" t="s">
        <v>26</v>
      </c>
      <c r="P165" s="97" t="s">
        <v>26</v>
      </c>
      <c r="Q165" s="97" t="s">
        <v>26</v>
      </c>
      <c r="R165" s="97" t="s">
        <v>26</v>
      </c>
      <c r="S165" s="95" t="s">
        <v>24</v>
      </c>
      <c r="T165" s="95" t="s">
        <v>24</v>
      </c>
      <c r="U165" s="97" t="s">
        <v>26</v>
      </c>
      <c r="V165" s="97" t="s">
        <v>26</v>
      </c>
      <c r="W165" s="97" t="s">
        <v>26</v>
      </c>
      <c r="X165" s="97" t="s">
        <v>26</v>
      </c>
      <c r="Y165" s="97" t="s">
        <v>26</v>
      </c>
      <c r="Z165" s="95" t="s">
        <v>24</v>
      </c>
      <c r="AA165" s="95" t="s">
        <v>24</v>
      </c>
      <c r="AB165" s="97" t="s">
        <v>26</v>
      </c>
      <c r="AC165" s="97" t="s">
        <v>26</v>
      </c>
      <c r="AD165" s="97" t="s">
        <v>26</v>
      </c>
      <c r="AE165" s="97" t="s">
        <v>26</v>
      </c>
      <c r="AF165" s="97" t="s">
        <v>26</v>
      </c>
      <c r="AG165" s="95" t="s">
        <v>24</v>
      </c>
      <c r="AH165" s="95" t="s">
        <v>24</v>
      </c>
      <c r="AI165" s="98">
        <v>31</v>
      </c>
      <c r="AJ165" s="98">
        <f t="shared" si="8"/>
        <v>19</v>
      </c>
      <c r="AK165" s="98">
        <v>10</v>
      </c>
      <c r="AL165" s="98">
        <v>2</v>
      </c>
      <c r="AM165" s="98"/>
      <c r="AN165" s="98"/>
      <c r="AO165" s="98"/>
      <c r="AP165" s="98"/>
      <c r="AQ165" s="98"/>
      <c r="AR165" s="98"/>
      <c r="AS165" s="98"/>
      <c r="AT165" s="98">
        <f t="shared" si="9"/>
        <v>0</v>
      </c>
      <c r="AU165" s="99"/>
    </row>
    <row r="166" customFormat="1" ht="34" customHeight="1" spans="1:47">
      <c r="A166" s="92">
        <f t="shared" si="10"/>
        <v>163</v>
      </c>
      <c r="B166" s="93" t="s">
        <v>392</v>
      </c>
      <c r="C166" s="94" t="s">
        <v>173</v>
      </c>
      <c r="D166" s="95" t="s">
        <v>24</v>
      </c>
      <c r="E166" s="95" t="s">
        <v>24</v>
      </c>
      <c r="F166" s="95" t="s">
        <v>24</v>
      </c>
      <c r="G166" s="95" t="s">
        <v>24</v>
      </c>
      <c r="H166" s="95" t="s">
        <v>24</v>
      </c>
      <c r="I166" s="100" t="s">
        <v>25</v>
      </c>
      <c r="J166" s="100" t="s">
        <v>25</v>
      </c>
      <c r="K166" s="100" t="s">
        <v>25</v>
      </c>
      <c r="L166" s="100" t="s">
        <v>25</v>
      </c>
      <c r="M166" s="95" t="s">
        <v>24</v>
      </c>
      <c r="N166" s="100" t="s">
        <v>25</v>
      </c>
      <c r="O166" s="100" t="s">
        <v>25</v>
      </c>
      <c r="P166" s="100" t="s">
        <v>25</v>
      </c>
      <c r="Q166" s="100" t="s">
        <v>25</v>
      </c>
      <c r="R166" s="100" t="s">
        <v>25</v>
      </c>
      <c r="S166" s="95" t="s">
        <v>24</v>
      </c>
      <c r="T166" s="95" t="s">
        <v>24</v>
      </c>
      <c r="U166" s="100" t="s">
        <v>25</v>
      </c>
      <c r="V166" s="100" t="s">
        <v>25</v>
      </c>
      <c r="W166" s="100" t="s">
        <v>25</v>
      </c>
      <c r="X166" s="100" t="s">
        <v>25</v>
      </c>
      <c r="Y166" s="100" t="s">
        <v>25</v>
      </c>
      <c r="Z166" s="95" t="s">
        <v>24</v>
      </c>
      <c r="AA166" s="95" t="s">
        <v>24</v>
      </c>
      <c r="AB166" s="100" t="s">
        <v>25</v>
      </c>
      <c r="AC166" s="100" t="s">
        <v>25</v>
      </c>
      <c r="AD166" s="100" t="s">
        <v>25</v>
      </c>
      <c r="AE166" s="100" t="s">
        <v>25</v>
      </c>
      <c r="AF166" s="100" t="s">
        <v>25</v>
      </c>
      <c r="AG166" s="95" t="s">
        <v>24</v>
      </c>
      <c r="AH166" s="95" t="s">
        <v>24</v>
      </c>
      <c r="AI166" s="98">
        <v>31</v>
      </c>
      <c r="AJ166" s="98">
        <f t="shared" si="8"/>
        <v>0</v>
      </c>
      <c r="AK166" s="98">
        <v>10</v>
      </c>
      <c r="AL166" s="98">
        <v>0</v>
      </c>
      <c r="AM166" s="98">
        <v>21</v>
      </c>
      <c r="AN166" s="98"/>
      <c r="AO166" s="98"/>
      <c r="AP166" s="98"/>
      <c r="AQ166" s="98"/>
      <c r="AR166" s="98"/>
      <c r="AS166" s="98"/>
      <c r="AT166" s="98">
        <f t="shared" si="9"/>
        <v>21</v>
      </c>
      <c r="AU166" s="99"/>
    </row>
    <row r="167" customFormat="1" ht="34" customHeight="1" spans="1:47">
      <c r="A167" s="92">
        <f t="shared" si="10"/>
        <v>164</v>
      </c>
      <c r="B167" s="109" t="s">
        <v>393</v>
      </c>
      <c r="C167" s="94" t="s">
        <v>173</v>
      </c>
      <c r="D167" s="95" t="s">
        <v>23</v>
      </c>
      <c r="E167" s="95" t="s">
        <v>23</v>
      </c>
      <c r="F167" s="95" t="s">
        <v>24</v>
      </c>
      <c r="G167" s="95" t="s">
        <v>24</v>
      </c>
      <c r="H167" s="95" t="s">
        <v>24</v>
      </c>
      <c r="I167" s="97" t="s">
        <v>26</v>
      </c>
      <c r="J167" s="97" t="s">
        <v>26</v>
      </c>
      <c r="K167" s="97" t="s">
        <v>26</v>
      </c>
      <c r="L167" s="97" t="s">
        <v>26</v>
      </c>
      <c r="M167" s="95" t="s">
        <v>24</v>
      </c>
      <c r="N167" s="97" t="s">
        <v>26</v>
      </c>
      <c r="O167" s="97" t="s">
        <v>26</v>
      </c>
      <c r="P167" s="97" t="s">
        <v>26</v>
      </c>
      <c r="Q167" s="97" t="s">
        <v>26</v>
      </c>
      <c r="R167" s="97" t="s">
        <v>26</v>
      </c>
      <c r="S167" s="95" t="s">
        <v>24</v>
      </c>
      <c r="T167" s="95" t="s">
        <v>24</v>
      </c>
      <c r="U167" s="100" t="s">
        <v>25</v>
      </c>
      <c r="V167" s="97" t="s">
        <v>26</v>
      </c>
      <c r="W167" s="97" t="s">
        <v>26</v>
      </c>
      <c r="X167" s="97" t="s">
        <v>26</v>
      </c>
      <c r="Y167" s="97" t="s">
        <v>26</v>
      </c>
      <c r="Z167" s="95" t="s">
        <v>24</v>
      </c>
      <c r="AA167" s="95" t="s">
        <v>24</v>
      </c>
      <c r="AB167" s="97" t="s">
        <v>26</v>
      </c>
      <c r="AC167" s="97" t="s">
        <v>26</v>
      </c>
      <c r="AD167" s="97" t="s">
        <v>26</v>
      </c>
      <c r="AE167" s="97" t="s">
        <v>26</v>
      </c>
      <c r="AF167" s="97" t="s">
        <v>26</v>
      </c>
      <c r="AG167" s="95" t="s">
        <v>24</v>
      </c>
      <c r="AH167" s="95" t="s">
        <v>24</v>
      </c>
      <c r="AI167" s="98">
        <v>31</v>
      </c>
      <c r="AJ167" s="98">
        <f t="shared" si="8"/>
        <v>18</v>
      </c>
      <c r="AK167" s="98">
        <v>10</v>
      </c>
      <c r="AL167" s="98">
        <v>2</v>
      </c>
      <c r="AM167" s="98">
        <v>1</v>
      </c>
      <c r="AN167" s="98"/>
      <c r="AO167" s="98"/>
      <c r="AP167" s="98"/>
      <c r="AQ167" s="98"/>
      <c r="AR167" s="98"/>
      <c r="AS167" s="98"/>
      <c r="AT167" s="98">
        <f t="shared" si="9"/>
        <v>1</v>
      </c>
      <c r="AU167" s="105"/>
    </row>
    <row r="168" customFormat="1" ht="34" customHeight="1" spans="1:47">
      <c r="A168" s="92">
        <f t="shared" si="10"/>
        <v>165</v>
      </c>
      <c r="B168" s="111" t="s">
        <v>394</v>
      </c>
      <c r="C168" s="94" t="s">
        <v>173</v>
      </c>
      <c r="D168" s="95" t="s">
        <v>23</v>
      </c>
      <c r="E168" s="95" t="s">
        <v>23</v>
      </c>
      <c r="F168" s="95" t="s">
        <v>24</v>
      </c>
      <c r="G168" s="95" t="s">
        <v>24</v>
      </c>
      <c r="H168" s="95" t="s">
        <v>24</v>
      </c>
      <c r="I168" s="100" t="s">
        <v>25</v>
      </c>
      <c r="J168" s="97" t="s">
        <v>26</v>
      </c>
      <c r="K168" s="97" t="s">
        <v>26</v>
      </c>
      <c r="L168" s="97" t="s">
        <v>26</v>
      </c>
      <c r="M168" s="95" t="s">
        <v>24</v>
      </c>
      <c r="N168" s="97" t="s">
        <v>26</v>
      </c>
      <c r="O168" s="97" t="s">
        <v>26</v>
      </c>
      <c r="P168" s="97" t="s">
        <v>26</v>
      </c>
      <c r="Q168" s="97" t="s">
        <v>26</v>
      </c>
      <c r="R168" s="97" t="s">
        <v>26</v>
      </c>
      <c r="S168" s="95" t="s">
        <v>24</v>
      </c>
      <c r="T168" s="95" t="s">
        <v>24</v>
      </c>
      <c r="U168" s="97" t="s">
        <v>26</v>
      </c>
      <c r="V168" s="97" t="s">
        <v>26</v>
      </c>
      <c r="W168" s="97" t="s">
        <v>26</v>
      </c>
      <c r="X168" s="97" t="s">
        <v>26</v>
      </c>
      <c r="Y168" s="97" t="s">
        <v>26</v>
      </c>
      <c r="Z168" s="95" t="s">
        <v>24</v>
      </c>
      <c r="AA168" s="95" t="s">
        <v>24</v>
      </c>
      <c r="AB168" s="97" t="s">
        <v>26</v>
      </c>
      <c r="AC168" s="97" t="s">
        <v>26</v>
      </c>
      <c r="AD168" s="97" t="s">
        <v>26</v>
      </c>
      <c r="AE168" s="97" t="s">
        <v>26</v>
      </c>
      <c r="AF168" s="97" t="s">
        <v>26</v>
      </c>
      <c r="AG168" s="98" t="s">
        <v>34</v>
      </c>
      <c r="AH168" s="98" t="s">
        <v>34</v>
      </c>
      <c r="AI168" s="98">
        <v>31</v>
      </c>
      <c r="AJ168" s="98">
        <f t="shared" si="8"/>
        <v>18</v>
      </c>
      <c r="AK168" s="98">
        <v>10</v>
      </c>
      <c r="AL168" s="98">
        <v>2</v>
      </c>
      <c r="AM168" s="98">
        <v>1</v>
      </c>
      <c r="AN168" s="98"/>
      <c r="AO168" s="98"/>
      <c r="AP168" s="98"/>
      <c r="AQ168" s="98"/>
      <c r="AR168" s="98"/>
      <c r="AS168" s="98"/>
      <c r="AT168" s="98">
        <f t="shared" si="9"/>
        <v>1</v>
      </c>
      <c r="AU168" s="99" t="s">
        <v>371</v>
      </c>
    </row>
    <row r="169" customFormat="1" ht="34" customHeight="1" spans="1:47">
      <c r="A169" s="92">
        <f t="shared" si="10"/>
        <v>166</v>
      </c>
      <c r="B169" s="106" t="s">
        <v>251</v>
      </c>
      <c r="C169" s="94" t="s">
        <v>173</v>
      </c>
      <c r="D169" s="95" t="s">
        <v>23</v>
      </c>
      <c r="E169" s="95" t="s">
        <v>23</v>
      </c>
      <c r="F169" s="95" t="s">
        <v>24</v>
      </c>
      <c r="G169" s="95" t="s">
        <v>24</v>
      </c>
      <c r="H169" s="95" t="s">
        <v>24</v>
      </c>
      <c r="I169" s="97" t="s">
        <v>26</v>
      </c>
      <c r="J169" s="97" t="s">
        <v>26</v>
      </c>
      <c r="K169" s="97" t="s">
        <v>26</v>
      </c>
      <c r="L169" s="97" t="s">
        <v>26</v>
      </c>
      <c r="M169" s="95" t="s">
        <v>24</v>
      </c>
      <c r="N169" s="97" t="s">
        <v>26</v>
      </c>
      <c r="O169" s="97" t="s">
        <v>26</v>
      </c>
      <c r="P169" s="97" t="s">
        <v>26</v>
      </c>
      <c r="Q169" s="97" t="s">
        <v>26</v>
      </c>
      <c r="R169" s="97" t="s">
        <v>26</v>
      </c>
      <c r="S169" s="98" t="s">
        <v>34</v>
      </c>
      <c r="T169" s="98" t="s">
        <v>34</v>
      </c>
      <c r="U169" s="98" t="s">
        <v>34</v>
      </c>
      <c r="V169" s="98" t="s">
        <v>34</v>
      </c>
      <c r="W169" s="98" t="s">
        <v>34</v>
      </c>
      <c r="X169" s="98" t="s">
        <v>34</v>
      </c>
      <c r="Y169" s="98" t="s">
        <v>34</v>
      </c>
      <c r="Z169" s="98" t="s">
        <v>34</v>
      </c>
      <c r="AA169" s="98" t="s">
        <v>34</v>
      </c>
      <c r="AB169" s="98" t="s">
        <v>34</v>
      </c>
      <c r="AC169" s="98" t="s">
        <v>34</v>
      </c>
      <c r="AD169" s="98" t="s">
        <v>34</v>
      </c>
      <c r="AE169" s="98" t="s">
        <v>34</v>
      </c>
      <c r="AF169" s="98" t="s">
        <v>34</v>
      </c>
      <c r="AG169" s="98" t="s">
        <v>34</v>
      </c>
      <c r="AH169" s="98" t="s">
        <v>34</v>
      </c>
      <c r="AI169" s="98">
        <v>31</v>
      </c>
      <c r="AJ169" s="98">
        <f t="shared" si="8"/>
        <v>9</v>
      </c>
      <c r="AK169" s="98">
        <v>10</v>
      </c>
      <c r="AL169" s="98">
        <v>2</v>
      </c>
      <c r="AM169" s="98">
        <v>10</v>
      </c>
      <c r="AN169" s="98"/>
      <c r="AO169" s="98"/>
      <c r="AP169" s="98"/>
      <c r="AQ169" s="98"/>
      <c r="AR169" s="98"/>
      <c r="AS169" s="98"/>
      <c r="AT169" s="98">
        <f t="shared" si="9"/>
        <v>10</v>
      </c>
      <c r="AU169" s="99" t="s">
        <v>395</v>
      </c>
    </row>
    <row r="170" customFormat="1" ht="34" customHeight="1" spans="1:47">
      <c r="A170" s="92">
        <f t="shared" si="10"/>
        <v>167</v>
      </c>
      <c r="B170" s="93" t="s">
        <v>252</v>
      </c>
      <c r="C170" s="94" t="s">
        <v>173</v>
      </c>
      <c r="D170" s="95" t="s">
        <v>23</v>
      </c>
      <c r="E170" s="95" t="s">
        <v>23</v>
      </c>
      <c r="F170" s="95" t="s">
        <v>24</v>
      </c>
      <c r="G170" s="95" t="s">
        <v>24</v>
      </c>
      <c r="H170" s="95" t="s">
        <v>24</v>
      </c>
      <c r="I170" s="97" t="s">
        <v>26</v>
      </c>
      <c r="J170" s="97" t="s">
        <v>26</v>
      </c>
      <c r="K170" s="97" t="s">
        <v>26</v>
      </c>
      <c r="L170" s="97" t="s">
        <v>26</v>
      </c>
      <c r="M170" s="95" t="s">
        <v>24</v>
      </c>
      <c r="N170" s="97" t="s">
        <v>26</v>
      </c>
      <c r="O170" s="100" t="s">
        <v>351</v>
      </c>
      <c r="P170" s="97" t="s">
        <v>26</v>
      </c>
      <c r="Q170" s="97" t="s">
        <v>26</v>
      </c>
      <c r="R170" s="97" t="s">
        <v>26</v>
      </c>
      <c r="S170" s="95" t="s">
        <v>24</v>
      </c>
      <c r="T170" s="95" t="s">
        <v>24</v>
      </c>
      <c r="U170" s="97" t="s">
        <v>26</v>
      </c>
      <c r="V170" s="97" t="s">
        <v>26</v>
      </c>
      <c r="W170" s="97" t="s">
        <v>26</v>
      </c>
      <c r="X170" s="97" t="s">
        <v>26</v>
      </c>
      <c r="Y170" s="97" t="s">
        <v>26</v>
      </c>
      <c r="Z170" s="95" t="s">
        <v>24</v>
      </c>
      <c r="AA170" s="95" t="s">
        <v>24</v>
      </c>
      <c r="AB170" s="97" t="s">
        <v>26</v>
      </c>
      <c r="AC170" s="97" t="s">
        <v>26</v>
      </c>
      <c r="AD170" s="97" t="s">
        <v>26</v>
      </c>
      <c r="AE170" s="97" t="s">
        <v>26</v>
      </c>
      <c r="AF170" s="97" t="s">
        <v>26</v>
      </c>
      <c r="AG170" s="95" t="s">
        <v>24</v>
      </c>
      <c r="AH170" s="95" t="s">
        <v>24</v>
      </c>
      <c r="AI170" s="98">
        <v>31</v>
      </c>
      <c r="AJ170" s="98">
        <f t="shared" si="8"/>
        <v>18.44</v>
      </c>
      <c r="AK170" s="98">
        <v>10</v>
      </c>
      <c r="AL170" s="98">
        <v>2</v>
      </c>
      <c r="AM170" s="98">
        <v>0.56</v>
      </c>
      <c r="AN170" s="98"/>
      <c r="AO170" s="98"/>
      <c r="AP170" s="98"/>
      <c r="AQ170" s="98"/>
      <c r="AR170" s="98"/>
      <c r="AS170" s="98"/>
      <c r="AT170" s="98">
        <f t="shared" si="9"/>
        <v>0.56</v>
      </c>
      <c r="AU170" s="99"/>
    </row>
    <row r="171" customFormat="1" ht="34" customHeight="1" spans="1:47">
      <c r="A171" s="92">
        <f t="shared" si="10"/>
        <v>168</v>
      </c>
      <c r="B171" s="93" t="s">
        <v>254</v>
      </c>
      <c r="C171" s="94" t="s">
        <v>173</v>
      </c>
      <c r="D171" s="95" t="s">
        <v>23</v>
      </c>
      <c r="E171" s="95" t="s">
        <v>23</v>
      </c>
      <c r="F171" s="95" t="s">
        <v>24</v>
      </c>
      <c r="G171" s="95" t="s">
        <v>24</v>
      </c>
      <c r="H171" s="95" t="s">
        <v>24</v>
      </c>
      <c r="I171" s="97" t="s">
        <v>26</v>
      </c>
      <c r="J171" s="97" t="s">
        <v>26</v>
      </c>
      <c r="K171" s="97" t="s">
        <v>26</v>
      </c>
      <c r="L171" s="100" t="s">
        <v>321</v>
      </c>
      <c r="M171" s="95" t="s">
        <v>24</v>
      </c>
      <c r="N171" s="97" t="s">
        <v>26</v>
      </c>
      <c r="O171" s="97" t="s">
        <v>26</v>
      </c>
      <c r="P171" s="97" t="s">
        <v>26</v>
      </c>
      <c r="Q171" s="97" t="s">
        <v>26</v>
      </c>
      <c r="R171" s="97" t="s">
        <v>26</v>
      </c>
      <c r="S171" s="95" t="s">
        <v>24</v>
      </c>
      <c r="T171" s="95" t="s">
        <v>24</v>
      </c>
      <c r="U171" s="97" t="s">
        <v>26</v>
      </c>
      <c r="V171" s="97" t="s">
        <v>26</v>
      </c>
      <c r="W171" s="97" t="s">
        <v>26</v>
      </c>
      <c r="X171" s="97" t="s">
        <v>26</v>
      </c>
      <c r="Y171" s="97" t="s">
        <v>26</v>
      </c>
      <c r="Z171" s="95" t="s">
        <v>24</v>
      </c>
      <c r="AA171" s="95" t="s">
        <v>24</v>
      </c>
      <c r="AB171" s="97" t="s">
        <v>26</v>
      </c>
      <c r="AC171" s="97" t="s">
        <v>26</v>
      </c>
      <c r="AD171" s="97" t="s">
        <v>26</v>
      </c>
      <c r="AE171" s="97" t="s">
        <v>26</v>
      </c>
      <c r="AF171" s="97" t="s">
        <v>26</v>
      </c>
      <c r="AG171" s="95" t="s">
        <v>24</v>
      </c>
      <c r="AH171" s="95" t="s">
        <v>24</v>
      </c>
      <c r="AI171" s="98">
        <v>31</v>
      </c>
      <c r="AJ171" s="98">
        <f t="shared" si="8"/>
        <v>18.56</v>
      </c>
      <c r="AK171" s="98">
        <v>10</v>
      </c>
      <c r="AL171" s="98">
        <v>2</v>
      </c>
      <c r="AM171" s="98">
        <v>0.44</v>
      </c>
      <c r="AN171" s="98"/>
      <c r="AO171" s="98"/>
      <c r="AP171" s="98"/>
      <c r="AQ171" s="98"/>
      <c r="AR171" s="98"/>
      <c r="AS171" s="98"/>
      <c r="AT171" s="98">
        <f t="shared" si="9"/>
        <v>0.44</v>
      </c>
      <c r="AU171" s="99"/>
    </row>
    <row r="172" customFormat="1" ht="34" customHeight="1" spans="1:47">
      <c r="A172" s="92">
        <f t="shared" si="10"/>
        <v>169</v>
      </c>
      <c r="B172" s="93" t="s">
        <v>255</v>
      </c>
      <c r="C172" s="94" t="s">
        <v>173</v>
      </c>
      <c r="D172" s="95" t="s">
        <v>23</v>
      </c>
      <c r="E172" s="95" t="s">
        <v>23</v>
      </c>
      <c r="F172" s="95" t="s">
        <v>24</v>
      </c>
      <c r="G172" s="95" t="s">
        <v>24</v>
      </c>
      <c r="H172" s="95" t="s">
        <v>24</v>
      </c>
      <c r="I172" s="100" t="s">
        <v>396</v>
      </c>
      <c r="J172" s="97" t="s">
        <v>26</v>
      </c>
      <c r="K172" s="97" t="s">
        <v>26</v>
      </c>
      <c r="L172" s="97" t="s">
        <v>26</v>
      </c>
      <c r="M172" s="95" t="s">
        <v>24</v>
      </c>
      <c r="N172" s="97" t="s">
        <v>26</v>
      </c>
      <c r="O172" s="97" t="s">
        <v>26</v>
      </c>
      <c r="P172" s="97" t="s">
        <v>26</v>
      </c>
      <c r="Q172" s="97" t="s">
        <v>26</v>
      </c>
      <c r="R172" s="97" t="s">
        <v>26</v>
      </c>
      <c r="S172" s="95" t="s">
        <v>24</v>
      </c>
      <c r="T172" s="95" t="s">
        <v>24</v>
      </c>
      <c r="U172" s="100" t="s">
        <v>138</v>
      </c>
      <c r="V172" s="97" t="s">
        <v>26</v>
      </c>
      <c r="W172" s="97" t="s">
        <v>26</v>
      </c>
      <c r="X172" s="100" t="s">
        <v>321</v>
      </c>
      <c r="Y172" s="97" t="s">
        <v>26</v>
      </c>
      <c r="Z172" s="95" t="s">
        <v>24</v>
      </c>
      <c r="AA172" s="95" t="s">
        <v>24</v>
      </c>
      <c r="AB172" s="97" t="s">
        <v>26</v>
      </c>
      <c r="AC172" s="97" t="s">
        <v>26</v>
      </c>
      <c r="AD172" s="97" t="s">
        <v>26</v>
      </c>
      <c r="AE172" s="97" t="s">
        <v>26</v>
      </c>
      <c r="AF172" s="97" t="s">
        <v>26</v>
      </c>
      <c r="AG172" s="95" t="s">
        <v>24</v>
      </c>
      <c r="AH172" s="95" t="s">
        <v>24</v>
      </c>
      <c r="AI172" s="98">
        <v>31</v>
      </c>
      <c r="AJ172" s="98">
        <f t="shared" si="8"/>
        <v>18.37</v>
      </c>
      <c r="AK172" s="98">
        <v>10</v>
      </c>
      <c r="AL172" s="98">
        <v>2</v>
      </c>
      <c r="AM172" s="98">
        <v>0.63</v>
      </c>
      <c r="AN172" s="98"/>
      <c r="AO172" s="98"/>
      <c r="AP172" s="98"/>
      <c r="AQ172" s="98"/>
      <c r="AR172" s="98"/>
      <c r="AS172" s="98"/>
      <c r="AT172" s="98">
        <f t="shared" si="9"/>
        <v>0.63</v>
      </c>
      <c r="AU172" s="99"/>
    </row>
    <row r="173" customFormat="1" ht="34" customHeight="1" spans="1:47">
      <c r="A173" s="92">
        <f t="shared" si="10"/>
        <v>170</v>
      </c>
      <c r="B173" s="106" t="s">
        <v>257</v>
      </c>
      <c r="C173" s="94" t="s">
        <v>173</v>
      </c>
      <c r="D173" s="95" t="s">
        <v>23</v>
      </c>
      <c r="E173" s="95" t="s">
        <v>23</v>
      </c>
      <c r="F173" s="95" t="s">
        <v>24</v>
      </c>
      <c r="G173" s="95" t="s">
        <v>24</v>
      </c>
      <c r="H173" s="95" t="s">
        <v>24</v>
      </c>
      <c r="I173" s="97" t="s">
        <v>26</v>
      </c>
      <c r="J173" s="97" t="s">
        <v>26</v>
      </c>
      <c r="K173" s="97" t="s">
        <v>26</v>
      </c>
      <c r="L173" s="97" t="s">
        <v>26</v>
      </c>
      <c r="M173" s="95" t="s">
        <v>24</v>
      </c>
      <c r="N173" s="97" t="s">
        <v>26</v>
      </c>
      <c r="O173" s="97" t="s">
        <v>26</v>
      </c>
      <c r="P173" s="97" t="s">
        <v>26</v>
      </c>
      <c r="Q173" s="97" t="s">
        <v>26</v>
      </c>
      <c r="R173" s="97" t="s">
        <v>26</v>
      </c>
      <c r="S173" s="95" t="s">
        <v>24</v>
      </c>
      <c r="T173" s="95" t="s">
        <v>24</v>
      </c>
      <c r="U173" s="97" t="s">
        <v>26</v>
      </c>
      <c r="V173" s="97" t="s">
        <v>26</v>
      </c>
      <c r="W173" s="97" t="s">
        <v>26</v>
      </c>
      <c r="X173" s="98" t="s">
        <v>34</v>
      </c>
      <c r="Y173" s="98" t="s">
        <v>34</v>
      </c>
      <c r="Z173" s="98" t="s">
        <v>34</v>
      </c>
      <c r="AA173" s="98" t="s">
        <v>34</v>
      </c>
      <c r="AB173" s="98" t="s">
        <v>34</v>
      </c>
      <c r="AC173" s="98" t="s">
        <v>34</v>
      </c>
      <c r="AD173" s="98" t="s">
        <v>34</v>
      </c>
      <c r="AE173" s="98" t="s">
        <v>34</v>
      </c>
      <c r="AF173" s="98" t="s">
        <v>34</v>
      </c>
      <c r="AG173" s="98" t="s">
        <v>34</v>
      </c>
      <c r="AH173" s="98" t="s">
        <v>34</v>
      </c>
      <c r="AI173" s="98">
        <v>31</v>
      </c>
      <c r="AJ173" s="98">
        <f t="shared" ref="AJ173:AJ200" si="11">AI173-AM173-AK173-AL173</f>
        <v>12</v>
      </c>
      <c r="AK173" s="98">
        <v>10</v>
      </c>
      <c r="AL173" s="98">
        <v>2</v>
      </c>
      <c r="AM173" s="98">
        <v>7</v>
      </c>
      <c r="AN173" s="98"/>
      <c r="AO173" s="98"/>
      <c r="AP173" s="98"/>
      <c r="AQ173" s="98"/>
      <c r="AR173" s="98"/>
      <c r="AS173" s="98"/>
      <c r="AT173" s="98">
        <f t="shared" ref="AT173:AT200" si="12">AM173-AN173-AO173-AP173-AQ173-AR173+AS173</f>
        <v>7</v>
      </c>
      <c r="AU173" s="99" t="s">
        <v>397</v>
      </c>
    </row>
    <row r="174" customFormat="1" ht="34" customHeight="1" spans="1:47">
      <c r="A174" s="92">
        <f t="shared" si="10"/>
        <v>171</v>
      </c>
      <c r="B174" s="93" t="s">
        <v>259</v>
      </c>
      <c r="C174" s="94" t="s">
        <v>173</v>
      </c>
      <c r="D174" s="95" t="s">
        <v>23</v>
      </c>
      <c r="E174" s="95" t="s">
        <v>23</v>
      </c>
      <c r="F174" s="95" t="s">
        <v>24</v>
      </c>
      <c r="G174" s="95" t="s">
        <v>24</v>
      </c>
      <c r="H174" s="95" t="s">
        <v>24</v>
      </c>
      <c r="I174" s="97" t="s">
        <v>26</v>
      </c>
      <c r="J174" s="97" t="s">
        <v>26</v>
      </c>
      <c r="K174" s="97" t="s">
        <v>26</v>
      </c>
      <c r="L174" s="97" t="s">
        <v>26</v>
      </c>
      <c r="M174" s="95" t="s">
        <v>24</v>
      </c>
      <c r="N174" s="97" t="s">
        <v>26</v>
      </c>
      <c r="O174" s="97" t="s">
        <v>26</v>
      </c>
      <c r="P174" s="97" t="s">
        <v>26</v>
      </c>
      <c r="Q174" s="97" t="s">
        <v>26</v>
      </c>
      <c r="R174" s="97" t="s">
        <v>26</v>
      </c>
      <c r="S174" s="95" t="s">
        <v>24</v>
      </c>
      <c r="T174" s="95" t="s">
        <v>24</v>
      </c>
      <c r="U174" s="97" t="s">
        <v>26</v>
      </c>
      <c r="V174" s="97" t="s">
        <v>26</v>
      </c>
      <c r="W174" s="97" t="s">
        <v>26</v>
      </c>
      <c r="X174" s="97" t="s">
        <v>26</v>
      </c>
      <c r="Y174" s="97" t="s">
        <v>26</v>
      </c>
      <c r="Z174" s="95" t="s">
        <v>24</v>
      </c>
      <c r="AA174" s="95" t="s">
        <v>24</v>
      </c>
      <c r="AB174" s="97" t="s">
        <v>26</v>
      </c>
      <c r="AC174" s="97" t="s">
        <v>26</v>
      </c>
      <c r="AD174" s="97" t="s">
        <v>26</v>
      </c>
      <c r="AE174" s="97" t="s">
        <v>26</v>
      </c>
      <c r="AF174" s="97" t="s">
        <v>26</v>
      </c>
      <c r="AG174" s="95" t="s">
        <v>24</v>
      </c>
      <c r="AH174" s="95" t="s">
        <v>24</v>
      </c>
      <c r="AI174" s="98">
        <v>31</v>
      </c>
      <c r="AJ174" s="98">
        <f t="shared" si="11"/>
        <v>19</v>
      </c>
      <c r="AK174" s="98">
        <v>10</v>
      </c>
      <c r="AL174" s="98">
        <v>2</v>
      </c>
      <c r="AM174" s="98"/>
      <c r="AN174" s="98"/>
      <c r="AO174" s="98"/>
      <c r="AP174" s="98"/>
      <c r="AQ174" s="98"/>
      <c r="AR174" s="98"/>
      <c r="AS174" s="98"/>
      <c r="AT174" s="98">
        <f t="shared" si="12"/>
        <v>0</v>
      </c>
      <c r="AU174" s="99"/>
    </row>
    <row r="175" customFormat="1" ht="34" customHeight="1" spans="1:47">
      <c r="A175" s="92">
        <f t="shared" si="10"/>
        <v>172</v>
      </c>
      <c r="B175" s="93" t="s">
        <v>261</v>
      </c>
      <c r="C175" s="94" t="s">
        <v>173</v>
      </c>
      <c r="D175" s="95" t="s">
        <v>23</v>
      </c>
      <c r="E175" s="95" t="s">
        <v>23</v>
      </c>
      <c r="F175" s="95" t="s">
        <v>24</v>
      </c>
      <c r="G175" s="95" t="s">
        <v>24</v>
      </c>
      <c r="H175" s="95" t="s">
        <v>24</v>
      </c>
      <c r="I175" s="97" t="s">
        <v>26</v>
      </c>
      <c r="J175" s="97" t="s">
        <v>26</v>
      </c>
      <c r="K175" s="97" t="s">
        <v>26</v>
      </c>
      <c r="L175" s="97" t="s">
        <v>26</v>
      </c>
      <c r="M175" s="95" t="s">
        <v>24</v>
      </c>
      <c r="N175" s="97" t="s">
        <v>26</v>
      </c>
      <c r="O175" s="97" t="s">
        <v>26</v>
      </c>
      <c r="P175" s="97" t="s">
        <v>26</v>
      </c>
      <c r="Q175" s="97" t="s">
        <v>26</v>
      </c>
      <c r="R175" s="97" t="s">
        <v>26</v>
      </c>
      <c r="S175" s="95" t="s">
        <v>24</v>
      </c>
      <c r="T175" s="95" t="s">
        <v>24</v>
      </c>
      <c r="U175" s="100" t="s">
        <v>25</v>
      </c>
      <c r="V175" s="100" t="s">
        <v>25</v>
      </c>
      <c r="W175" s="96" t="s">
        <v>88</v>
      </c>
      <c r="X175" s="97" t="s">
        <v>26</v>
      </c>
      <c r="Y175" s="97" t="s">
        <v>26</v>
      </c>
      <c r="Z175" s="95" t="s">
        <v>24</v>
      </c>
      <c r="AA175" s="95" t="s">
        <v>24</v>
      </c>
      <c r="AB175" s="97" t="s">
        <v>26</v>
      </c>
      <c r="AC175" s="97" t="s">
        <v>26</v>
      </c>
      <c r="AD175" s="97" t="s">
        <v>26</v>
      </c>
      <c r="AE175" s="97" t="s">
        <v>26</v>
      </c>
      <c r="AF175" s="97" t="s">
        <v>26</v>
      </c>
      <c r="AG175" s="95" t="s">
        <v>24</v>
      </c>
      <c r="AH175" s="95" t="s">
        <v>24</v>
      </c>
      <c r="AI175" s="98">
        <v>31</v>
      </c>
      <c r="AJ175" s="98">
        <f t="shared" si="11"/>
        <v>16</v>
      </c>
      <c r="AK175" s="98">
        <v>10</v>
      </c>
      <c r="AL175" s="98">
        <v>2</v>
      </c>
      <c r="AM175" s="98">
        <v>3</v>
      </c>
      <c r="AN175" s="98"/>
      <c r="AO175" s="98">
        <v>1</v>
      </c>
      <c r="AP175" s="98"/>
      <c r="AQ175" s="98"/>
      <c r="AR175" s="98"/>
      <c r="AS175" s="98"/>
      <c r="AT175" s="98">
        <f t="shared" si="12"/>
        <v>2</v>
      </c>
      <c r="AU175" s="99" t="s">
        <v>89</v>
      </c>
    </row>
    <row r="176" customFormat="1" ht="34" customHeight="1" spans="1:47">
      <c r="A176" s="92">
        <f t="shared" si="10"/>
        <v>173</v>
      </c>
      <c r="B176" s="93" t="s">
        <v>262</v>
      </c>
      <c r="C176" s="94" t="s">
        <v>173</v>
      </c>
      <c r="D176" s="95" t="s">
        <v>23</v>
      </c>
      <c r="E176" s="95" t="s">
        <v>23</v>
      </c>
      <c r="F176" s="95" t="s">
        <v>24</v>
      </c>
      <c r="G176" s="95" t="s">
        <v>24</v>
      </c>
      <c r="H176" s="95" t="s">
        <v>24</v>
      </c>
      <c r="I176" s="97" t="s">
        <v>26</v>
      </c>
      <c r="J176" s="97" t="s">
        <v>26</v>
      </c>
      <c r="K176" s="97" t="s">
        <v>26</v>
      </c>
      <c r="L176" s="97" t="s">
        <v>26</v>
      </c>
      <c r="M176" s="95" t="s">
        <v>24</v>
      </c>
      <c r="N176" s="97" t="s">
        <v>26</v>
      </c>
      <c r="O176" s="97" t="s">
        <v>26</v>
      </c>
      <c r="P176" s="97" t="s">
        <v>26</v>
      </c>
      <c r="Q176" s="97" t="s">
        <v>26</v>
      </c>
      <c r="R176" s="97" t="s">
        <v>26</v>
      </c>
      <c r="S176" s="95" t="s">
        <v>24</v>
      </c>
      <c r="T176" s="95" t="s">
        <v>24</v>
      </c>
      <c r="U176" s="97" t="s">
        <v>26</v>
      </c>
      <c r="V176" s="97" t="s">
        <v>26</v>
      </c>
      <c r="W176" s="97" t="s">
        <v>26</v>
      </c>
      <c r="X176" s="97" t="s">
        <v>26</v>
      </c>
      <c r="Y176" s="97" t="s">
        <v>26</v>
      </c>
      <c r="Z176" s="95" t="s">
        <v>24</v>
      </c>
      <c r="AA176" s="95" t="s">
        <v>24</v>
      </c>
      <c r="AB176" s="97" t="s">
        <v>26</v>
      </c>
      <c r="AC176" s="97" t="s">
        <v>26</v>
      </c>
      <c r="AD176" s="97" t="s">
        <v>26</v>
      </c>
      <c r="AE176" s="97" t="s">
        <v>26</v>
      </c>
      <c r="AF176" s="97" t="s">
        <v>26</v>
      </c>
      <c r="AG176" s="95" t="s">
        <v>24</v>
      </c>
      <c r="AH176" s="95" t="s">
        <v>24</v>
      </c>
      <c r="AI176" s="98">
        <v>31</v>
      </c>
      <c r="AJ176" s="98">
        <f t="shared" si="11"/>
        <v>19</v>
      </c>
      <c r="AK176" s="98">
        <v>10</v>
      </c>
      <c r="AL176" s="98">
        <v>2</v>
      </c>
      <c r="AM176" s="98"/>
      <c r="AN176" s="98"/>
      <c r="AO176" s="98"/>
      <c r="AP176" s="98"/>
      <c r="AQ176" s="98"/>
      <c r="AR176" s="98"/>
      <c r="AS176" s="98"/>
      <c r="AT176" s="98">
        <f t="shared" si="12"/>
        <v>0</v>
      </c>
      <c r="AU176" s="99"/>
    </row>
    <row r="177" customFormat="1" ht="34" customHeight="1" spans="1:48">
      <c r="A177" s="92">
        <f t="shared" si="10"/>
        <v>174</v>
      </c>
      <c r="B177" s="93" t="s">
        <v>223</v>
      </c>
      <c r="C177" s="94" t="s">
        <v>173</v>
      </c>
      <c r="D177" s="95" t="s">
        <v>23</v>
      </c>
      <c r="E177" s="95" t="s">
        <v>23</v>
      </c>
      <c r="F177" s="95" t="s">
        <v>24</v>
      </c>
      <c r="G177" s="95" t="s">
        <v>24</v>
      </c>
      <c r="H177" s="95" t="s">
        <v>24</v>
      </c>
      <c r="I177" s="97" t="s">
        <v>26</v>
      </c>
      <c r="J177" s="97" t="s">
        <v>26</v>
      </c>
      <c r="K177" s="97" t="s">
        <v>26</v>
      </c>
      <c r="L177" s="97" t="s">
        <v>26</v>
      </c>
      <c r="M177" s="95" t="s">
        <v>24</v>
      </c>
      <c r="N177" s="100" t="s">
        <v>321</v>
      </c>
      <c r="O177" s="97" t="s">
        <v>26</v>
      </c>
      <c r="P177" s="97" t="s">
        <v>26</v>
      </c>
      <c r="Q177" s="100" t="s">
        <v>398</v>
      </c>
      <c r="R177" s="97" t="s">
        <v>26</v>
      </c>
      <c r="S177" s="95" t="s">
        <v>24</v>
      </c>
      <c r="T177" s="95" t="s">
        <v>24</v>
      </c>
      <c r="U177" s="100" t="s">
        <v>321</v>
      </c>
      <c r="V177" s="97" t="s">
        <v>26</v>
      </c>
      <c r="W177" s="97" t="s">
        <v>26</v>
      </c>
      <c r="X177" s="97" t="s">
        <v>26</v>
      </c>
      <c r="Y177" s="97" t="s">
        <v>26</v>
      </c>
      <c r="Z177" s="95" t="s">
        <v>24</v>
      </c>
      <c r="AA177" s="95" t="s">
        <v>24</v>
      </c>
      <c r="AB177" s="100" t="s">
        <v>321</v>
      </c>
      <c r="AC177" s="97" t="s">
        <v>26</v>
      </c>
      <c r="AD177" s="97" t="s">
        <v>26</v>
      </c>
      <c r="AE177" s="97" t="s">
        <v>26</v>
      </c>
      <c r="AF177" s="97" t="s">
        <v>26</v>
      </c>
      <c r="AG177" s="95" t="s">
        <v>24</v>
      </c>
      <c r="AH177" s="95" t="s">
        <v>24</v>
      </c>
      <c r="AI177" s="98">
        <v>31</v>
      </c>
      <c r="AJ177" s="98">
        <f t="shared" si="11"/>
        <v>16.94</v>
      </c>
      <c r="AK177" s="98">
        <v>10</v>
      </c>
      <c r="AL177" s="98">
        <v>2</v>
      </c>
      <c r="AM177" s="98">
        <v>2.06</v>
      </c>
      <c r="AN177" s="98"/>
      <c r="AO177" s="98"/>
      <c r="AP177" s="98"/>
      <c r="AQ177" s="98"/>
      <c r="AR177" s="98"/>
      <c r="AS177" s="98"/>
      <c r="AT177" s="98">
        <f t="shared" si="12"/>
        <v>2.06</v>
      </c>
      <c r="AU177" s="99"/>
    </row>
    <row r="178" customFormat="1" ht="34" customHeight="1" spans="1:48">
      <c r="A178" s="92">
        <f t="shared" si="10"/>
        <v>175</v>
      </c>
      <c r="B178" s="93" t="s">
        <v>219</v>
      </c>
      <c r="C178" s="94" t="s">
        <v>173</v>
      </c>
      <c r="D178" s="95" t="s">
        <v>23</v>
      </c>
      <c r="E178" s="95" t="s">
        <v>23</v>
      </c>
      <c r="F178" s="95" t="s">
        <v>24</v>
      </c>
      <c r="G178" s="95" t="s">
        <v>24</v>
      </c>
      <c r="H178" s="95" t="s">
        <v>24</v>
      </c>
      <c r="I178" s="97" t="s">
        <v>26</v>
      </c>
      <c r="J178" s="97" t="s">
        <v>26</v>
      </c>
      <c r="K178" s="97" t="s">
        <v>26</v>
      </c>
      <c r="L178" s="97" t="s">
        <v>26</v>
      </c>
      <c r="M178" s="95" t="s">
        <v>24</v>
      </c>
      <c r="N178" s="97" t="s">
        <v>26</v>
      </c>
      <c r="O178" s="97" t="s">
        <v>26</v>
      </c>
      <c r="P178" s="97" t="s">
        <v>26</v>
      </c>
      <c r="Q178" s="97" t="s">
        <v>26</v>
      </c>
      <c r="R178" s="97" t="s">
        <v>26</v>
      </c>
      <c r="S178" s="95" t="s">
        <v>24</v>
      </c>
      <c r="T178" s="95" t="s">
        <v>24</v>
      </c>
      <c r="U178" s="97" t="s">
        <v>26</v>
      </c>
      <c r="V178" s="97" t="s">
        <v>26</v>
      </c>
      <c r="W178" s="97" t="s">
        <v>26</v>
      </c>
      <c r="X178" s="97" t="s">
        <v>26</v>
      </c>
      <c r="Y178" s="97" t="s">
        <v>26</v>
      </c>
      <c r="Z178" s="95" t="s">
        <v>24</v>
      </c>
      <c r="AA178" s="95" t="s">
        <v>24</v>
      </c>
      <c r="AB178" s="97" t="s">
        <v>26</v>
      </c>
      <c r="AC178" s="97" t="s">
        <v>26</v>
      </c>
      <c r="AD178" s="97" t="s">
        <v>26</v>
      </c>
      <c r="AE178" s="100" t="s">
        <v>321</v>
      </c>
      <c r="AF178" s="97" t="s">
        <v>26</v>
      </c>
      <c r="AG178" s="95" t="s">
        <v>24</v>
      </c>
      <c r="AH178" s="95" t="s">
        <v>24</v>
      </c>
      <c r="AI178" s="98">
        <v>31</v>
      </c>
      <c r="AJ178" s="98">
        <f t="shared" si="11"/>
        <v>18.56</v>
      </c>
      <c r="AK178" s="98">
        <v>10</v>
      </c>
      <c r="AL178" s="98">
        <v>2</v>
      </c>
      <c r="AM178" s="98">
        <v>0.44</v>
      </c>
      <c r="AN178" s="98"/>
      <c r="AO178" s="98"/>
      <c r="AP178" s="98"/>
      <c r="AQ178" s="98"/>
      <c r="AR178" s="98"/>
      <c r="AS178" s="98"/>
      <c r="AT178" s="98">
        <f t="shared" si="12"/>
        <v>0.44</v>
      </c>
      <c r="AU178" s="99"/>
    </row>
    <row r="179" customFormat="1" ht="34" customHeight="1" spans="1:48">
      <c r="A179" s="92">
        <f t="shared" si="10"/>
        <v>176</v>
      </c>
      <c r="B179" s="93" t="s">
        <v>263</v>
      </c>
      <c r="C179" s="94" t="s">
        <v>173</v>
      </c>
      <c r="D179" s="95" t="s">
        <v>23</v>
      </c>
      <c r="E179" s="95" t="s">
        <v>23</v>
      </c>
      <c r="F179" s="95" t="s">
        <v>24</v>
      </c>
      <c r="G179" s="95" t="s">
        <v>24</v>
      </c>
      <c r="H179" s="95" t="s">
        <v>24</v>
      </c>
      <c r="I179" s="97" t="s">
        <v>26</v>
      </c>
      <c r="J179" s="97" t="s">
        <v>26</v>
      </c>
      <c r="K179" s="97" t="s">
        <v>26</v>
      </c>
      <c r="L179" s="97" t="s">
        <v>26</v>
      </c>
      <c r="M179" s="95" t="s">
        <v>24</v>
      </c>
      <c r="N179" s="97" t="s">
        <v>26</v>
      </c>
      <c r="O179" s="97" t="s">
        <v>26</v>
      </c>
      <c r="P179" s="97" t="s">
        <v>26</v>
      </c>
      <c r="Q179" s="97" t="s">
        <v>26</v>
      </c>
      <c r="R179" s="97" t="s">
        <v>26</v>
      </c>
      <c r="S179" s="95" t="s">
        <v>24</v>
      </c>
      <c r="T179" s="95" t="s">
        <v>24</v>
      </c>
      <c r="U179" s="97" t="s">
        <v>26</v>
      </c>
      <c r="V179" s="97" t="s">
        <v>26</v>
      </c>
      <c r="W179" s="97" t="s">
        <v>26</v>
      </c>
      <c r="X179" s="97" t="s">
        <v>26</v>
      </c>
      <c r="Y179" s="97" t="s">
        <v>26</v>
      </c>
      <c r="Z179" s="95" t="s">
        <v>24</v>
      </c>
      <c r="AA179" s="95" t="s">
        <v>24</v>
      </c>
      <c r="AB179" s="97" t="s">
        <v>26</v>
      </c>
      <c r="AC179" s="97" t="s">
        <v>26</v>
      </c>
      <c r="AD179" s="97" t="s">
        <v>26</v>
      </c>
      <c r="AE179" s="97" t="s">
        <v>26</v>
      </c>
      <c r="AF179" s="96" t="s">
        <v>134</v>
      </c>
      <c r="AG179" s="95" t="s">
        <v>24</v>
      </c>
      <c r="AH179" s="95" t="s">
        <v>24</v>
      </c>
      <c r="AI179" s="98">
        <v>31</v>
      </c>
      <c r="AJ179" s="98">
        <f t="shared" si="11"/>
        <v>18.75</v>
      </c>
      <c r="AK179" s="98">
        <v>10</v>
      </c>
      <c r="AL179" s="98">
        <v>2</v>
      </c>
      <c r="AM179" s="98">
        <v>0.25</v>
      </c>
      <c r="AN179" s="98"/>
      <c r="AO179" s="98">
        <v>0.25</v>
      </c>
      <c r="AP179" s="98"/>
      <c r="AQ179" s="98"/>
      <c r="AR179" s="98"/>
      <c r="AS179" s="98"/>
      <c r="AT179" s="98">
        <f t="shared" si="12"/>
        <v>0</v>
      </c>
      <c r="AU179" s="99" t="s">
        <v>135</v>
      </c>
    </row>
    <row r="180" customFormat="1" ht="34" customHeight="1" spans="1:48">
      <c r="A180" s="92">
        <f t="shared" si="10"/>
        <v>177</v>
      </c>
      <c r="B180" s="93" t="s">
        <v>265</v>
      </c>
      <c r="C180" s="94" t="s">
        <v>264</v>
      </c>
      <c r="D180" s="95" t="s">
        <v>23</v>
      </c>
      <c r="E180" s="95" t="s">
        <v>23</v>
      </c>
      <c r="F180" s="95" t="s">
        <v>24</v>
      </c>
      <c r="G180" s="95" t="s">
        <v>24</v>
      </c>
      <c r="H180" s="95" t="s">
        <v>24</v>
      </c>
      <c r="I180" s="97" t="s">
        <v>26</v>
      </c>
      <c r="J180" s="97" t="s">
        <v>26</v>
      </c>
      <c r="K180" s="97" t="s">
        <v>26</v>
      </c>
      <c r="L180" s="97" t="s">
        <v>26</v>
      </c>
      <c r="M180" s="95" t="s">
        <v>24</v>
      </c>
      <c r="N180" s="97" t="s">
        <v>26</v>
      </c>
      <c r="O180" s="97" t="s">
        <v>26</v>
      </c>
      <c r="P180" s="97" t="s">
        <v>26</v>
      </c>
      <c r="Q180" s="97" t="s">
        <v>26</v>
      </c>
      <c r="R180" s="97" t="s">
        <v>26</v>
      </c>
      <c r="S180" s="95" t="s">
        <v>24</v>
      </c>
      <c r="T180" s="95" t="s">
        <v>24</v>
      </c>
      <c r="U180" s="97" t="s">
        <v>26</v>
      </c>
      <c r="V180" s="97" t="s">
        <v>26</v>
      </c>
      <c r="W180" s="97" t="s">
        <v>26</v>
      </c>
      <c r="X180" s="97" t="s">
        <v>26</v>
      </c>
      <c r="Y180" s="97" t="s">
        <v>26</v>
      </c>
      <c r="Z180" s="95" t="s">
        <v>24</v>
      </c>
      <c r="AA180" s="95" t="s">
        <v>24</v>
      </c>
      <c r="AB180" s="97" t="s">
        <v>26</v>
      </c>
      <c r="AC180" s="97" t="s">
        <v>26</v>
      </c>
      <c r="AD180" s="97" t="s">
        <v>26</v>
      </c>
      <c r="AE180" s="97" t="s">
        <v>26</v>
      </c>
      <c r="AF180" s="97" t="s">
        <v>26</v>
      </c>
      <c r="AG180" s="95" t="s">
        <v>24</v>
      </c>
      <c r="AH180" s="95" t="s">
        <v>24</v>
      </c>
      <c r="AI180" s="98">
        <v>31</v>
      </c>
      <c r="AJ180" s="98">
        <f t="shared" si="11"/>
        <v>19</v>
      </c>
      <c r="AK180" s="98">
        <v>10</v>
      </c>
      <c r="AL180" s="98">
        <v>2</v>
      </c>
      <c r="AM180" s="98"/>
      <c r="AN180" s="98"/>
      <c r="AO180" s="98"/>
      <c r="AP180" s="98"/>
      <c r="AQ180" s="98"/>
      <c r="AR180" s="98"/>
      <c r="AS180" s="98"/>
      <c r="AT180" s="98">
        <f t="shared" si="12"/>
        <v>0</v>
      </c>
      <c r="AU180" s="99"/>
    </row>
    <row r="181" customFormat="1" ht="34" customHeight="1" spans="1:48">
      <c r="A181" s="92">
        <f t="shared" si="10"/>
        <v>178</v>
      </c>
      <c r="B181" s="93" t="s">
        <v>266</v>
      </c>
      <c r="C181" s="94" t="s">
        <v>264</v>
      </c>
      <c r="D181" s="95" t="s">
        <v>23</v>
      </c>
      <c r="E181" s="95" t="s">
        <v>23</v>
      </c>
      <c r="F181" s="95" t="s">
        <v>24</v>
      </c>
      <c r="G181" s="95" t="s">
        <v>24</v>
      </c>
      <c r="H181" s="95" t="s">
        <v>24</v>
      </c>
      <c r="I181" s="97" t="s">
        <v>26</v>
      </c>
      <c r="J181" s="97" t="s">
        <v>26</v>
      </c>
      <c r="K181" s="97" t="s">
        <v>26</v>
      </c>
      <c r="L181" s="97" t="s">
        <v>26</v>
      </c>
      <c r="M181" s="95" t="s">
        <v>24</v>
      </c>
      <c r="N181" s="97" t="s">
        <v>26</v>
      </c>
      <c r="O181" s="97" t="s">
        <v>26</v>
      </c>
      <c r="P181" s="97" t="s">
        <v>26</v>
      </c>
      <c r="Q181" s="97" t="s">
        <v>26</v>
      </c>
      <c r="R181" s="97" t="s">
        <v>26</v>
      </c>
      <c r="S181" s="95" t="s">
        <v>24</v>
      </c>
      <c r="T181" s="95" t="s">
        <v>24</v>
      </c>
      <c r="U181" s="97" t="s">
        <v>26</v>
      </c>
      <c r="V181" s="96" t="s">
        <v>29</v>
      </c>
      <c r="W181" s="97" t="s">
        <v>26</v>
      </c>
      <c r="X181" s="97" t="s">
        <v>26</v>
      </c>
      <c r="Y181" s="97" t="s">
        <v>26</v>
      </c>
      <c r="Z181" s="95" t="s">
        <v>24</v>
      </c>
      <c r="AA181" s="95" t="s">
        <v>24</v>
      </c>
      <c r="AB181" s="97" t="s">
        <v>26</v>
      </c>
      <c r="AC181" s="97" t="s">
        <v>26</v>
      </c>
      <c r="AD181" s="97" t="s">
        <v>26</v>
      </c>
      <c r="AE181" s="97" t="s">
        <v>26</v>
      </c>
      <c r="AF181" s="96" t="s">
        <v>399</v>
      </c>
      <c r="AG181" s="95" t="s">
        <v>24</v>
      </c>
      <c r="AH181" s="95" t="s">
        <v>24</v>
      </c>
      <c r="AI181" s="98">
        <v>31</v>
      </c>
      <c r="AJ181" s="98">
        <f t="shared" si="11"/>
        <v>17.94</v>
      </c>
      <c r="AK181" s="98">
        <v>10</v>
      </c>
      <c r="AL181" s="98">
        <v>2</v>
      </c>
      <c r="AM181" s="98">
        <v>1.06</v>
      </c>
      <c r="AN181" s="98"/>
      <c r="AO181" s="98">
        <v>1.06</v>
      </c>
      <c r="AP181" s="98"/>
      <c r="AQ181" s="98"/>
      <c r="AR181" s="98"/>
      <c r="AS181" s="98"/>
      <c r="AT181" s="98">
        <f t="shared" si="12"/>
        <v>0</v>
      </c>
      <c r="AU181" s="99" t="s">
        <v>302</v>
      </c>
    </row>
    <row r="182" customFormat="1" ht="36" customHeight="1" spans="1:48">
      <c r="A182" s="92">
        <f t="shared" si="10"/>
        <v>179</v>
      </c>
      <c r="B182" s="93" t="s">
        <v>267</v>
      </c>
      <c r="C182" s="94" t="s">
        <v>264</v>
      </c>
      <c r="D182" s="95" t="s">
        <v>23</v>
      </c>
      <c r="E182" s="95" t="s">
        <v>23</v>
      </c>
      <c r="F182" s="95" t="s">
        <v>24</v>
      </c>
      <c r="G182" s="95" t="s">
        <v>24</v>
      </c>
      <c r="H182" s="95" t="s">
        <v>24</v>
      </c>
      <c r="I182" s="96" t="s">
        <v>29</v>
      </c>
      <c r="J182" s="97" t="s">
        <v>26</v>
      </c>
      <c r="K182" s="96" t="s">
        <v>29</v>
      </c>
      <c r="L182" s="97" t="s">
        <v>26</v>
      </c>
      <c r="M182" s="95" t="s">
        <v>24</v>
      </c>
      <c r="N182" s="97" t="s">
        <v>26</v>
      </c>
      <c r="O182" s="97" t="s">
        <v>26</v>
      </c>
      <c r="P182" s="96" t="s">
        <v>88</v>
      </c>
      <c r="Q182" s="97" t="s">
        <v>26</v>
      </c>
      <c r="R182" s="97" t="s">
        <v>26</v>
      </c>
      <c r="S182" s="95" t="s">
        <v>24</v>
      </c>
      <c r="T182" s="95" t="s">
        <v>24</v>
      </c>
      <c r="U182" s="97" t="s">
        <v>26</v>
      </c>
      <c r="V182" s="97" t="s">
        <v>26</v>
      </c>
      <c r="W182" s="97" t="s">
        <v>26</v>
      </c>
      <c r="X182" s="97" t="s">
        <v>26</v>
      </c>
      <c r="Y182" s="97" t="s">
        <v>26</v>
      </c>
      <c r="Z182" s="95" t="s">
        <v>24</v>
      </c>
      <c r="AA182" s="95" t="s">
        <v>24</v>
      </c>
      <c r="AB182" s="97" t="s">
        <v>26</v>
      </c>
      <c r="AC182" s="97" t="s">
        <v>26</v>
      </c>
      <c r="AD182" s="97" t="s">
        <v>26</v>
      </c>
      <c r="AE182" s="96" t="s">
        <v>134</v>
      </c>
      <c r="AF182" s="96" t="s">
        <v>88</v>
      </c>
      <c r="AG182" s="95" t="s">
        <v>24</v>
      </c>
      <c r="AH182" s="95" t="s">
        <v>24</v>
      </c>
      <c r="AI182" s="98">
        <v>31</v>
      </c>
      <c r="AJ182" s="98">
        <f t="shared" si="11"/>
        <v>15.87</v>
      </c>
      <c r="AK182" s="98">
        <v>10</v>
      </c>
      <c r="AL182" s="98">
        <v>2</v>
      </c>
      <c r="AM182" s="98">
        <v>3.13</v>
      </c>
      <c r="AN182" s="98"/>
      <c r="AO182" s="98">
        <v>3.13</v>
      </c>
      <c r="AP182" s="98"/>
      <c r="AQ182" s="98"/>
      <c r="AR182" s="98"/>
      <c r="AS182" s="98"/>
      <c r="AT182" s="98">
        <f t="shared" si="12"/>
        <v>0</v>
      </c>
      <c r="AU182" s="99" t="s">
        <v>400</v>
      </c>
    </row>
    <row r="183" customFormat="1" ht="34" customHeight="1" spans="1:48">
      <c r="A183" s="92">
        <f t="shared" si="10"/>
        <v>180</v>
      </c>
      <c r="B183" s="106" t="s">
        <v>401</v>
      </c>
      <c r="C183" s="94" t="s">
        <v>264</v>
      </c>
      <c r="D183" s="95" t="s">
        <v>23</v>
      </c>
      <c r="E183" s="95" t="s">
        <v>23</v>
      </c>
      <c r="F183" s="95" t="s">
        <v>24</v>
      </c>
      <c r="G183" s="95" t="s">
        <v>24</v>
      </c>
      <c r="H183" s="95" t="s">
        <v>24</v>
      </c>
      <c r="I183" s="97" t="s">
        <v>26</v>
      </c>
      <c r="J183" s="97" t="s">
        <v>26</v>
      </c>
      <c r="K183" s="97" t="s">
        <v>26</v>
      </c>
      <c r="L183" s="96" t="s">
        <v>70</v>
      </c>
      <c r="M183" s="95" t="s">
        <v>24</v>
      </c>
      <c r="N183" s="97" t="s">
        <v>26</v>
      </c>
      <c r="O183" s="97" t="s">
        <v>26</v>
      </c>
      <c r="P183" s="97" t="s">
        <v>26</v>
      </c>
      <c r="Q183" s="97" t="s">
        <v>26</v>
      </c>
      <c r="R183" s="97" t="s">
        <v>26</v>
      </c>
      <c r="S183" s="95" t="s">
        <v>24</v>
      </c>
      <c r="T183" s="95" t="s">
        <v>24</v>
      </c>
      <c r="U183" s="97" t="s">
        <v>26</v>
      </c>
      <c r="V183" s="97" t="s">
        <v>26</v>
      </c>
      <c r="W183" s="97" t="s">
        <v>26</v>
      </c>
      <c r="X183" s="97" t="s">
        <v>26</v>
      </c>
      <c r="Y183" s="97" t="s">
        <v>26</v>
      </c>
      <c r="Z183" s="95" t="s">
        <v>24</v>
      </c>
      <c r="AA183" s="95" t="s">
        <v>24</v>
      </c>
      <c r="AB183" s="97" t="s">
        <v>26</v>
      </c>
      <c r="AC183" s="97" t="s">
        <v>26</v>
      </c>
      <c r="AD183" s="96" t="s">
        <v>311</v>
      </c>
      <c r="AE183" s="96" t="s">
        <v>88</v>
      </c>
      <c r="AF183" s="96" t="s">
        <v>88</v>
      </c>
      <c r="AG183" s="98" t="s">
        <v>34</v>
      </c>
      <c r="AH183" s="98" t="s">
        <v>34</v>
      </c>
      <c r="AI183" s="98">
        <v>31</v>
      </c>
      <c r="AJ183" s="98">
        <f t="shared" si="11"/>
        <v>16.31</v>
      </c>
      <c r="AK183" s="98">
        <v>10</v>
      </c>
      <c r="AL183" s="98">
        <v>2</v>
      </c>
      <c r="AM183" s="98">
        <v>2.69</v>
      </c>
      <c r="AN183" s="98"/>
      <c r="AO183" s="98">
        <v>2.69</v>
      </c>
      <c r="AP183" s="98"/>
      <c r="AQ183" s="98"/>
      <c r="AR183" s="98"/>
      <c r="AS183" s="98"/>
      <c r="AT183" s="98">
        <f t="shared" si="12"/>
        <v>0</v>
      </c>
      <c r="AU183" s="99" t="s">
        <v>402</v>
      </c>
    </row>
    <row r="184" customFormat="1" ht="34" customHeight="1" spans="1:48">
      <c r="A184" s="92">
        <f t="shared" si="10"/>
        <v>181</v>
      </c>
      <c r="B184" s="93" t="s">
        <v>270</v>
      </c>
      <c r="C184" s="94" t="s">
        <v>271</v>
      </c>
      <c r="D184" s="95" t="s">
        <v>23</v>
      </c>
      <c r="E184" s="95" t="s">
        <v>23</v>
      </c>
      <c r="F184" s="95" t="s">
        <v>24</v>
      </c>
      <c r="G184" s="95" t="s">
        <v>24</v>
      </c>
      <c r="H184" s="95" t="s">
        <v>24</v>
      </c>
      <c r="I184" s="97" t="s">
        <v>26</v>
      </c>
      <c r="J184" s="97" t="s">
        <v>26</v>
      </c>
      <c r="K184" s="97" t="s">
        <v>26</v>
      </c>
      <c r="L184" s="97" t="s">
        <v>26</v>
      </c>
      <c r="M184" s="95" t="s">
        <v>24</v>
      </c>
      <c r="N184" s="97" t="s">
        <v>26</v>
      </c>
      <c r="O184" s="97" t="s">
        <v>26</v>
      </c>
      <c r="P184" s="97" t="s">
        <v>26</v>
      </c>
      <c r="Q184" s="97" t="s">
        <v>26</v>
      </c>
      <c r="R184" s="97" t="s">
        <v>26</v>
      </c>
      <c r="S184" s="95" t="s">
        <v>24</v>
      </c>
      <c r="T184" s="95" t="s">
        <v>24</v>
      </c>
      <c r="U184" s="97" t="s">
        <v>26</v>
      </c>
      <c r="V184" s="97" t="s">
        <v>26</v>
      </c>
      <c r="W184" s="97" t="s">
        <v>26</v>
      </c>
      <c r="X184" s="97" t="s">
        <v>26</v>
      </c>
      <c r="Y184" s="97" t="s">
        <v>26</v>
      </c>
      <c r="Z184" s="95" t="s">
        <v>24</v>
      </c>
      <c r="AA184" s="95" t="s">
        <v>24</v>
      </c>
      <c r="AB184" s="97" t="s">
        <v>26</v>
      </c>
      <c r="AC184" s="97" t="s">
        <v>26</v>
      </c>
      <c r="AD184" s="97" t="s">
        <v>26</v>
      </c>
      <c r="AE184" s="97" t="s">
        <v>26</v>
      </c>
      <c r="AF184" s="97" t="s">
        <v>26</v>
      </c>
      <c r="AG184" s="95" t="s">
        <v>24</v>
      </c>
      <c r="AH184" s="95" t="s">
        <v>24</v>
      </c>
      <c r="AI184" s="98">
        <v>31</v>
      </c>
      <c r="AJ184" s="98">
        <f t="shared" si="11"/>
        <v>19</v>
      </c>
      <c r="AK184" s="98">
        <v>10</v>
      </c>
      <c r="AL184" s="98">
        <v>2</v>
      </c>
      <c r="AM184" s="98"/>
      <c r="AN184" s="98"/>
      <c r="AO184" s="98"/>
      <c r="AP184" s="98"/>
      <c r="AQ184" s="98"/>
      <c r="AR184" s="98"/>
      <c r="AS184" s="98"/>
      <c r="AT184" s="98">
        <f t="shared" si="12"/>
        <v>0</v>
      </c>
      <c r="AU184" s="112"/>
      <c r="AV184" s="104"/>
    </row>
    <row r="185" customFormat="1" ht="27" customHeight="1" spans="1:48">
      <c r="A185" s="92">
        <f t="shared" si="10"/>
        <v>182</v>
      </c>
      <c r="B185" s="93" t="s">
        <v>272</v>
      </c>
      <c r="C185" s="94" t="s">
        <v>271</v>
      </c>
      <c r="D185" s="95" t="s">
        <v>23</v>
      </c>
      <c r="E185" s="95" t="s">
        <v>23</v>
      </c>
      <c r="F185" s="95" t="s">
        <v>24</v>
      </c>
      <c r="G185" s="95" t="s">
        <v>24</v>
      </c>
      <c r="H185" s="95" t="s">
        <v>24</v>
      </c>
      <c r="I185" s="97" t="s">
        <v>26</v>
      </c>
      <c r="J185" s="97" t="s">
        <v>26</v>
      </c>
      <c r="K185" s="97" t="s">
        <v>26</v>
      </c>
      <c r="L185" s="103" t="s">
        <v>309</v>
      </c>
      <c r="M185" s="95" t="s">
        <v>24</v>
      </c>
      <c r="N185" s="97" t="s">
        <v>26</v>
      </c>
      <c r="O185" s="97" t="s">
        <v>26</v>
      </c>
      <c r="P185" s="97" t="s">
        <v>26</v>
      </c>
      <c r="Q185" s="97" t="s">
        <v>26</v>
      </c>
      <c r="R185" s="97" t="s">
        <v>26</v>
      </c>
      <c r="S185" s="95" t="s">
        <v>24</v>
      </c>
      <c r="T185" s="95" t="s">
        <v>24</v>
      </c>
      <c r="U185" s="97" t="s">
        <v>26</v>
      </c>
      <c r="V185" s="97" t="s">
        <v>26</v>
      </c>
      <c r="W185" s="97" t="s">
        <v>26</v>
      </c>
      <c r="X185" s="97" t="s">
        <v>26</v>
      </c>
      <c r="Y185" s="100" t="s">
        <v>137</v>
      </c>
      <c r="Z185" s="95" t="s">
        <v>24</v>
      </c>
      <c r="AA185" s="95" t="s">
        <v>24</v>
      </c>
      <c r="AB185" s="97" t="s">
        <v>26</v>
      </c>
      <c r="AC185" s="97" t="s">
        <v>26</v>
      </c>
      <c r="AD185" s="97" t="s">
        <v>26</v>
      </c>
      <c r="AE185" s="97" t="s">
        <v>26</v>
      </c>
      <c r="AF185" s="97" t="s">
        <v>26</v>
      </c>
      <c r="AG185" s="95" t="s">
        <v>24</v>
      </c>
      <c r="AH185" s="95" t="s">
        <v>24</v>
      </c>
      <c r="AI185" s="98">
        <v>31</v>
      </c>
      <c r="AJ185" s="98">
        <f t="shared" si="11"/>
        <v>17.75</v>
      </c>
      <c r="AK185" s="98">
        <v>10</v>
      </c>
      <c r="AL185" s="98">
        <v>2</v>
      </c>
      <c r="AM185" s="98">
        <v>1.25</v>
      </c>
      <c r="AN185" s="98">
        <v>1</v>
      </c>
      <c r="AO185" s="98"/>
      <c r="AP185" s="98"/>
      <c r="AQ185" s="98"/>
      <c r="AR185" s="98"/>
      <c r="AS185" s="98"/>
      <c r="AT185" s="98">
        <f t="shared" si="12"/>
        <v>0.25</v>
      </c>
      <c r="AU185" s="99" t="s">
        <v>310</v>
      </c>
    </row>
    <row r="186" customFormat="1" ht="34" customHeight="1" spans="1:48">
      <c r="A186" s="92">
        <f t="shared" si="10"/>
        <v>183</v>
      </c>
      <c r="B186" s="93" t="s">
        <v>273</v>
      </c>
      <c r="C186" s="94" t="s">
        <v>271</v>
      </c>
      <c r="D186" s="95" t="s">
        <v>23</v>
      </c>
      <c r="E186" s="95" t="s">
        <v>23</v>
      </c>
      <c r="F186" s="95" t="s">
        <v>24</v>
      </c>
      <c r="G186" s="95" t="s">
        <v>24</v>
      </c>
      <c r="H186" s="95" t="s">
        <v>24</v>
      </c>
      <c r="I186" s="97" t="s">
        <v>26</v>
      </c>
      <c r="J186" s="97" t="s">
        <v>26</v>
      </c>
      <c r="K186" s="97" t="s">
        <v>26</v>
      </c>
      <c r="L186" s="97" t="s">
        <v>26</v>
      </c>
      <c r="M186" s="95" t="s">
        <v>24</v>
      </c>
      <c r="N186" s="97" t="s">
        <v>26</v>
      </c>
      <c r="O186" s="97" t="s">
        <v>26</v>
      </c>
      <c r="P186" s="97" t="s">
        <v>26</v>
      </c>
      <c r="Q186" s="97" t="s">
        <v>26</v>
      </c>
      <c r="R186" s="97" t="s">
        <v>26</v>
      </c>
      <c r="S186" s="95" t="s">
        <v>24</v>
      </c>
      <c r="T186" s="95" t="s">
        <v>24</v>
      </c>
      <c r="U186" s="96" t="s">
        <v>29</v>
      </c>
      <c r="V186" s="97" t="s">
        <v>26</v>
      </c>
      <c r="W186" s="97" t="s">
        <v>26</v>
      </c>
      <c r="X186" s="97" t="s">
        <v>26</v>
      </c>
      <c r="Y186" s="97" t="s">
        <v>26</v>
      </c>
      <c r="Z186" s="95" t="s">
        <v>24</v>
      </c>
      <c r="AA186" s="95" t="s">
        <v>24</v>
      </c>
      <c r="AB186" s="97" t="s">
        <v>26</v>
      </c>
      <c r="AC186" s="97" t="s">
        <v>26</v>
      </c>
      <c r="AD186" s="97" t="s">
        <v>26</v>
      </c>
      <c r="AE186" s="97" t="s">
        <v>26</v>
      </c>
      <c r="AF186" s="97" t="s">
        <v>26</v>
      </c>
      <c r="AG186" s="95" t="s">
        <v>24</v>
      </c>
      <c r="AH186" s="95" t="s">
        <v>24</v>
      </c>
      <c r="AI186" s="98">
        <v>31</v>
      </c>
      <c r="AJ186" s="98">
        <f t="shared" si="11"/>
        <v>18.56</v>
      </c>
      <c r="AK186" s="98">
        <v>10</v>
      </c>
      <c r="AL186" s="98">
        <v>2</v>
      </c>
      <c r="AM186" s="98">
        <v>0.44</v>
      </c>
      <c r="AN186" s="98"/>
      <c r="AO186" s="98">
        <v>0.44</v>
      </c>
      <c r="AP186" s="98"/>
      <c r="AQ186" s="98"/>
      <c r="AR186" s="98"/>
      <c r="AS186" s="98"/>
      <c r="AT186" s="98">
        <f t="shared" si="12"/>
        <v>0</v>
      </c>
      <c r="AU186" s="99" t="s">
        <v>30</v>
      </c>
    </row>
    <row r="187" customFormat="1" ht="34" customHeight="1" spans="1:48">
      <c r="A187" s="92">
        <f t="shared" si="10"/>
        <v>184</v>
      </c>
      <c r="B187" s="93" t="s">
        <v>276</v>
      </c>
      <c r="C187" s="94" t="s">
        <v>275</v>
      </c>
      <c r="D187" s="95" t="s">
        <v>23</v>
      </c>
      <c r="E187" s="95" t="s">
        <v>23</v>
      </c>
      <c r="F187" s="95" t="s">
        <v>24</v>
      </c>
      <c r="G187" s="95" t="s">
        <v>24</v>
      </c>
      <c r="H187" s="95" t="s">
        <v>24</v>
      </c>
      <c r="I187" s="96" t="s">
        <v>347</v>
      </c>
      <c r="J187" s="97" t="s">
        <v>26</v>
      </c>
      <c r="K187" s="97" t="s">
        <v>26</v>
      </c>
      <c r="L187" s="97" t="s">
        <v>26</v>
      </c>
      <c r="M187" s="95" t="s">
        <v>24</v>
      </c>
      <c r="N187" s="97" t="s">
        <v>26</v>
      </c>
      <c r="O187" s="97" t="s">
        <v>26</v>
      </c>
      <c r="P187" s="97" t="s">
        <v>26</v>
      </c>
      <c r="Q187" s="97" t="s">
        <v>26</v>
      </c>
      <c r="R187" s="97" t="s">
        <v>26</v>
      </c>
      <c r="S187" s="95" t="s">
        <v>24</v>
      </c>
      <c r="T187" s="95" t="s">
        <v>24</v>
      </c>
      <c r="U187" s="97" t="s">
        <v>26</v>
      </c>
      <c r="V187" s="97" t="s">
        <v>26</v>
      </c>
      <c r="W187" s="97" t="s">
        <v>26</v>
      </c>
      <c r="X187" s="97" t="s">
        <v>26</v>
      </c>
      <c r="Y187" s="97" t="s">
        <v>26</v>
      </c>
      <c r="Z187" s="95" t="s">
        <v>24</v>
      </c>
      <c r="AA187" s="95" t="s">
        <v>24</v>
      </c>
      <c r="AB187" s="97" t="s">
        <v>26</v>
      </c>
      <c r="AC187" s="97" t="s">
        <v>26</v>
      </c>
      <c r="AD187" s="97" t="s">
        <v>26</v>
      </c>
      <c r="AE187" s="96" t="s">
        <v>311</v>
      </c>
      <c r="AF187" s="97" t="s">
        <v>26</v>
      </c>
      <c r="AG187" s="95" t="s">
        <v>24</v>
      </c>
      <c r="AH187" s="95" t="s">
        <v>24</v>
      </c>
      <c r="AI187" s="98">
        <v>31</v>
      </c>
      <c r="AJ187" s="98">
        <f t="shared" si="11"/>
        <v>17.94</v>
      </c>
      <c r="AK187" s="98">
        <v>10</v>
      </c>
      <c r="AL187" s="98">
        <v>2</v>
      </c>
      <c r="AM187" s="98">
        <v>1.06</v>
      </c>
      <c r="AN187" s="98"/>
      <c r="AO187" s="98">
        <v>1.06</v>
      </c>
      <c r="AP187" s="98"/>
      <c r="AQ187" s="98"/>
      <c r="AR187" s="98"/>
      <c r="AS187" s="98"/>
      <c r="AT187" s="98">
        <f t="shared" si="12"/>
        <v>0</v>
      </c>
      <c r="AU187" s="99" t="s">
        <v>302</v>
      </c>
    </row>
    <row r="188" customFormat="1" ht="34" customHeight="1" spans="1:48">
      <c r="A188" s="92">
        <f t="shared" si="10"/>
        <v>185</v>
      </c>
      <c r="B188" s="93" t="s">
        <v>277</v>
      </c>
      <c r="C188" s="94" t="s">
        <v>275</v>
      </c>
      <c r="D188" s="95" t="s">
        <v>23</v>
      </c>
      <c r="E188" s="95" t="s">
        <v>23</v>
      </c>
      <c r="F188" s="95" t="s">
        <v>24</v>
      </c>
      <c r="G188" s="95" t="s">
        <v>24</v>
      </c>
      <c r="H188" s="95" t="s">
        <v>24</v>
      </c>
      <c r="I188" s="97" t="s">
        <v>26</v>
      </c>
      <c r="J188" s="97" t="s">
        <v>26</v>
      </c>
      <c r="K188" s="97" t="s">
        <v>26</v>
      </c>
      <c r="L188" s="97" t="s">
        <v>26</v>
      </c>
      <c r="M188" s="95" t="s">
        <v>24</v>
      </c>
      <c r="N188" s="97" t="s">
        <v>26</v>
      </c>
      <c r="O188" s="97" t="s">
        <v>26</v>
      </c>
      <c r="P188" s="97" t="s">
        <v>26</v>
      </c>
      <c r="Q188" s="97" t="s">
        <v>26</v>
      </c>
      <c r="R188" s="97" t="s">
        <v>26</v>
      </c>
      <c r="S188" s="95" t="s">
        <v>24</v>
      </c>
      <c r="T188" s="95" t="s">
        <v>24</v>
      </c>
      <c r="U188" s="97" t="s">
        <v>26</v>
      </c>
      <c r="V188" s="97" t="s">
        <v>26</v>
      </c>
      <c r="W188" s="97" t="s">
        <v>26</v>
      </c>
      <c r="X188" s="97" t="s">
        <v>26</v>
      </c>
      <c r="Y188" s="97" t="s">
        <v>26</v>
      </c>
      <c r="Z188" s="95" t="s">
        <v>24</v>
      </c>
      <c r="AA188" s="95" t="s">
        <v>24</v>
      </c>
      <c r="AB188" s="97" t="s">
        <v>26</v>
      </c>
      <c r="AC188" s="97" t="s">
        <v>26</v>
      </c>
      <c r="AD188" s="97" t="s">
        <v>26</v>
      </c>
      <c r="AE188" s="97" t="s">
        <v>26</v>
      </c>
      <c r="AF188" s="97" t="s">
        <v>26</v>
      </c>
      <c r="AG188" s="95" t="s">
        <v>24</v>
      </c>
      <c r="AH188" s="95" t="s">
        <v>24</v>
      </c>
      <c r="AI188" s="98">
        <v>31</v>
      </c>
      <c r="AJ188" s="98">
        <f t="shared" si="11"/>
        <v>19</v>
      </c>
      <c r="AK188" s="98">
        <v>10</v>
      </c>
      <c r="AL188" s="98">
        <v>2</v>
      </c>
      <c r="AM188" s="98"/>
      <c r="AN188" s="98"/>
      <c r="AO188" s="98"/>
      <c r="AP188" s="98"/>
      <c r="AQ188" s="98"/>
      <c r="AR188" s="98"/>
      <c r="AS188" s="98"/>
      <c r="AT188" s="98">
        <f t="shared" si="12"/>
        <v>0</v>
      </c>
      <c r="AU188" s="99"/>
    </row>
    <row r="189" customFormat="1" ht="30" customHeight="1" spans="1:48">
      <c r="A189" s="92">
        <f t="shared" si="10"/>
        <v>186</v>
      </c>
      <c r="B189" s="93" t="s">
        <v>278</v>
      </c>
      <c r="C189" s="94" t="s">
        <v>275</v>
      </c>
      <c r="D189" s="95" t="s">
        <v>23</v>
      </c>
      <c r="E189" s="95" t="s">
        <v>23</v>
      </c>
      <c r="F189" s="95" t="s">
        <v>24</v>
      </c>
      <c r="G189" s="95" t="s">
        <v>24</v>
      </c>
      <c r="H189" s="95" t="s">
        <v>24</v>
      </c>
      <c r="I189" s="97" t="s">
        <v>26</v>
      </c>
      <c r="J189" s="97" t="s">
        <v>26</v>
      </c>
      <c r="K189" s="97" t="s">
        <v>26</v>
      </c>
      <c r="L189" s="97" t="s">
        <v>26</v>
      </c>
      <c r="M189" s="95" t="s">
        <v>24</v>
      </c>
      <c r="N189" s="97" t="s">
        <v>26</v>
      </c>
      <c r="O189" s="97" t="s">
        <v>26</v>
      </c>
      <c r="P189" s="97" t="s">
        <v>26</v>
      </c>
      <c r="Q189" s="97" t="s">
        <v>26</v>
      </c>
      <c r="R189" s="97" t="s">
        <v>26</v>
      </c>
      <c r="S189" s="95" t="s">
        <v>24</v>
      </c>
      <c r="T189" s="95" t="s">
        <v>24</v>
      </c>
      <c r="U189" s="97" t="s">
        <v>26</v>
      </c>
      <c r="V189" s="97" t="s">
        <v>26</v>
      </c>
      <c r="W189" s="97" t="s">
        <v>26</v>
      </c>
      <c r="X189" s="97" t="s">
        <v>26</v>
      </c>
      <c r="Y189" s="97" t="s">
        <v>26</v>
      </c>
      <c r="Z189" s="95" t="s">
        <v>24</v>
      </c>
      <c r="AA189" s="95" t="s">
        <v>24</v>
      </c>
      <c r="AB189" s="97" t="s">
        <v>26</v>
      </c>
      <c r="AC189" s="97" t="s">
        <v>26</v>
      </c>
      <c r="AD189" s="97" t="s">
        <v>26</v>
      </c>
      <c r="AE189" s="97" t="s">
        <v>26</v>
      </c>
      <c r="AF189" s="97" t="s">
        <v>26</v>
      </c>
      <c r="AG189" s="95" t="s">
        <v>24</v>
      </c>
      <c r="AH189" s="95" t="s">
        <v>24</v>
      </c>
      <c r="AI189" s="98">
        <v>31</v>
      </c>
      <c r="AJ189" s="98">
        <f t="shared" si="11"/>
        <v>19</v>
      </c>
      <c r="AK189" s="98">
        <v>10</v>
      </c>
      <c r="AL189" s="98">
        <v>2</v>
      </c>
      <c r="AM189" s="98"/>
      <c r="AN189" s="98"/>
      <c r="AO189" s="98"/>
      <c r="AP189" s="98"/>
      <c r="AQ189" s="98"/>
      <c r="AR189" s="98"/>
      <c r="AS189" s="98"/>
      <c r="AT189" s="98">
        <f t="shared" si="12"/>
        <v>0</v>
      </c>
      <c r="AU189" s="99"/>
    </row>
    <row r="190" customFormat="1" ht="34" customHeight="1" spans="1:48">
      <c r="A190" s="92">
        <f t="shared" si="10"/>
        <v>187</v>
      </c>
      <c r="B190" s="93" t="s">
        <v>279</v>
      </c>
      <c r="C190" s="94" t="s">
        <v>275</v>
      </c>
      <c r="D190" s="95" t="s">
        <v>23</v>
      </c>
      <c r="E190" s="95" t="s">
        <v>23</v>
      </c>
      <c r="F190" s="95" t="s">
        <v>24</v>
      </c>
      <c r="G190" s="95" t="s">
        <v>24</v>
      </c>
      <c r="H190" s="95" t="s">
        <v>24</v>
      </c>
      <c r="I190" s="97" t="s">
        <v>26</v>
      </c>
      <c r="J190" s="97" t="s">
        <v>26</v>
      </c>
      <c r="K190" s="97" t="s">
        <v>26</v>
      </c>
      <c r="L190" s="97" t="s">
        <v>26</v>
      </c>
      <c r="M190" s="95" t="s">
        <v>24</v>
      </c>
      <c r="N190" s="97" t="s">
        <v>26</v>
      </c>
      <c r="O190" s="97" t="s">
        <v>26</v>
      </c>
      <c r="P190" s="97" t="s">
        <v>26</v>
      </c>
      <c r="Q190" s="97" t="s">
        <v>26</v>
      </c>
      <c r="R190" s="97" t="s">
        <v>26</v>
      </c>
      <c r="S190" s="95" t="s">
        <v>24</v>
      </c>
      <c r="T190" s="95" t="s">
        <v>24</v>
      </c>
      <c r="U190" s="97" t="s">
        <v>26</v>
      </c>
      <c r="V190" s="97" t="s">
        <v>26</v>
      </c>
      <c r="W190" s="97" t="s">
        <v>26</v>
      </c>
      <c r="X190" s="97" t="s">
        <v>26</v>
      </c>
      <c r="Y190" s="97" t="s">
        <v>26</v>
      </c>
      <c r="Z190" s="95" t="s">
        <v>24</v>
      </c>
      <c r="AA190" s="95" t="s">
        <v>24</v>
      </c>
      <c r="AB190" s="97" t="s">
        <v>26</v>
      </c>
      <c r="AC190" s="97" t="s">
        <v>26</v>
      </c>
      <c r="AD190" s="97" t="s">
        <v>26</v>
      </c>
      <c r="AE190" s="97" t="s">
        <v>26</v>
      </c>
      <c r="AF190" s="97" t="s">
        <v>26</v>
      </c>
      <c r="AG190" s="95" t="s">
        <v>24</v>
      </c>
      <c r="AH190" s="95" t="s">
        <v>24</v>
      </c>
      <c r="AI190" s="98">
        <v>31</v>
      </c>
      <c r="AJ190" s="98">
        <f t="shared" si="11"/>
        <v>19</v>
      </c>
      <c r="AK190" s="98">
        <v>10</v>
      </c>
      <c r="AL190" s="98">
        <v>2</v>
      </c>
      <c r="AM190" s="98"/>
      <c r="AN190" s="98"/>
      <c r="AO190" s="98"/>
      <c r="AP190" s="98"/>
      <c r="AQ190" s="98"/>
      <c r="AR190" s="98"/>
      <c r="AS190" s="98"/>
      <c r="AT190" s="98">
        <f t="shared" si="12"/>
        <v>0</v>
      </c>
      <c r="AU190" s="99"/>
    </row>
    <row r="191" customFormat="1" ht="33" customHeight="1" spans="1:48">
      <c r="A191" s="92">
        <f t="shared" si="10"/>
        <v>188</v>
      </c>
      <c r="B191" s="93" t="s">
        <v>281</v>
      </c>
      <c r="C191" s="94" t="s">
        <v>275</v>
      </c>
      <c r="D191" s="95" t="s">
        <v>23</v>
      </c>
      <c r="E191" s="95" t="s">
        <v>23</v>
      </c>
      <c r="F191" s="95" t="s">
        <v>24</v>
      </c>
      <c r="G191" s="95" t="s">
        <v>24</v>
      </c>
      <c r="H191" s="95" t="s">
        <v>24</v>
      </c>
      <c r="I191" s="97" t="s">
        <v>26</v>
      </c>
      <c r="J191" s="97" t="s">
        <v>26</v>
      </c>
      <c r="K191" s="97" t="s">
        <v>26</v>
      </c>
      <c r="L191" s="97" t="s">
        <v>26</v>
      </c>
      <c r="M191" s="95" t="s">
        <v>24</v>
      </c>
      <c r="N191" s="97" t="s">
        <v>26</v>
      </c>
      <c r="O191" s="97" t="s">
        <v>26</v>
      </c>
      <c r="P191" s="97" t="s">
        <v>26</v>
      </c>
      <c r="Q191" s="97" t="s">
        <v>26</v>
      </c>
      <c r="R191" s="97" t="s">
        <v>26</v>
      </c>
      <c r="S191" s="95" t="s">
        <v>24</v>
      </c>
      <c r="T191" s="95" t="s">
        <v>24</v>
      </c>
      <c r="U191" s="97" t="s">
        <v>26</v>
      </c>
      <c r="V191" s="97" t="s">
        <v>26</v>
      </c>
      <c r="W191" s="97" t="s">
        <v>26</v>
      </c>
      <c r="X191" s="97" t="s">
        <v>26</v>
      </c>
      <c r="Y191" s="97" t="s">
        <v>26</v>
      </c>
      <c r="Z191" s="95" t="s">
        <v>24</v>
      </c>
      <c r="AA191" s="95" t="s">
        <v>24</v>
      </c>
      <c r="AB191" s="97" t="s">
        <v>26</v>
      </c>
      <c r="AC191" s="97" t="s">
        <v>26</v>
      </c>
      <c r="AD191" s="97" t="s">
        <v>26</v>
      </c>
      <c r="AE191" s="97" t="s">
        <v>26</v>
      </c>
      <c r="AF191" s="97" t="s">
        <v>26</v>
      </c>
      <c r="AG191" s="95" t="s">
        <v>24</v>
      </c>
      <c r="AH191" s="95" t="s">
        <v>24</v>
      </c>
      <c r="AI191" s="98">
        <v>31</v>
      </c>
      <c r="AJ191" s="98">
        <f t="shared" si="11"/>
        <v>19</v>
      </c>
      <c r="AK191" s="98">
        <v>10</v>
      </c>
      <c r="AL191" s="98">
        <v>2</v>
      </c>
      <c r="AM191" s="98"/>
      <c r="AN191" s="98"/>
      <c r="AO191" s="98"/>
      <c r="AP191" s="98"/>
      <c r="AQ191" s="98"/>
      <c r="AR191" s="98"/>
      <c r="AS191" s="98"/>
      <c r="AT191" s="98">
        <f t="shared" si="12"/>
        <v>0</v>
      </c>
      <c r="AU191" s="99"/>
    </row>
    <row r="192" customFormat="1" ht="34" customHeight="1" spans="1:48">
      <c r="A192" s="92">
        <f t="shared" si="10"/>
        <v>189</v>
      </c>
      <c r="B192" s="93" t="s">
        <v>282</v>
      </c>
      <c r="C192" s="94" t="s">
        <v>275</v>
      </c>
      <c r="D192" s="95" t="s">
        <v>23</v>
      </c>
      <c r="E192" s="95" t="s">
        <v>23</v>
      </c>
      <c r="F192" s="95" t="s">
        <v>24</v>
      </c>
      <c r="G192" s="95" t="s">
        <v>24</v>
      </c>
      <c r="H192" s="95" t="s">
        <v>24</v>
      </c>
      <c r="I192" s="97" t="s">
        <v>26</v>
      </c>
      <c r="J192" s="97" t="s">
        <v>26</v>
      </c>
      <c r="K192" s="97" t="s">
        <v>26</v>
      </c>
      <c r="L192" s="97" t="s">
        <v>26</v>
      </c>
      <c r="M192" s="95" t="s">
        <v>24</v>
      </c>
      <c r="N192" s="97" t="s">
        <v>26</v>
      </c>
      <c r="O192" s="97" t="s">
        <v>26</v>
      </c>
      <c r="P192" s="97" t="s">
        <v>26</v>
      </c>
      <c r="Q192" s="97" t="s">
        <v>26</v>
      </c>
      <c r="R192" s="97" t="s">
        <v>26</v>
      </c>
      <c r="S192" s="95" t="s">
        <v>24</v>
      </c>
      <c r="T192" s="95" t="s">
        <v>24</v>
      </c>
      <c r="U192" s="97" t="s">
        <v>26</v>
      </c>
      <c r="V192" s="97" t="s">
        <v>26</v>
      </c>
      <c r="W192" s="97" t="s">
        <v>26</v>
      </c>
      <c r="X192" s="97" t="s">
        <v>26</v>
      </c>
      <c r="Y192" s="97" t="s">
        <v>26</v>
      </c>
      <c r="Z192" s="95" t="s">
        <v>24</v>
      </c>
      <c r="AA192" s="95" t="s">
        <v>24</v>
      </c>
      <c r="AB192" s="97" t="s">
        <v>26</v>
      </c>
      <c r="AC192" s="97" t="s">
        <v>26</v>
      </c>
      <c r="AD192" s="97" t="s">
        <v>26</v>
      </c>
      <c r="AE192" s="97" t="s">
        <v>26</v>
      </c>
      <c r="AF192" s="97" t="s">
        <v>26</v>
      </c>
      <c r="AG192" s="95" t="s">
        <v>24</v>
      </c>
      <c r="AH192" s="95" t="s">
        <v>24</v>
      </c>
      <c r="AI192" s="98">
        <v>31</v>
      </c>
      <c r="AJ192" s="98">
        <f t="shared" si="11"/>
        <v>19</v>
      </c>
      <c r="AK192" s="98">
        <v>10</v>
      </c>
      <c r="AL192" s="98">
        <v>2</v>
      </c>
      <c r="AM192" s="98"/>
      <c r="AN192" s="98"/>
      <c r="AO192" s="98"/>
      <c r="AP192" s="98"/>
      <c r="AQ192" s="98"/>
      <c r="AR192" s="98"/>
      <c r="AS192" s="98"/>
      <c r="AT192" s="98">
        <f t="shared" si="12"/>
        <v>0</v>
      </c>
      <c r="AU192" s="99"/>
    </row>
    <row r="193" customFormat="1" ht="34" customHeight="1" spans="1:47">
      <c r="A193" s="92">
        <f t="shared" si="10"/>
        <v>190</v>
      </c>
      <c r="B193" s="93" t="s">
        <v>403</v>
      </c>
      <c r="C193" s="94" t="s">
        <v>275</v>
      </c>
      <c r="D193" s="95" t="s">
        <v>23</v>
      </c>
      <c r="E193" s="95" t="s">
        <v>23</v>
      </c>
      <c r="F193" s="95" t="s">
        <v>24</v>
      </c>
      <c r="G193" s="95" t="s">
        <v>24</v>
      </c>
      <c r="H193" s="95" t="s">
        <v>24</v>
      </c>
      <c r="I193" s="97" t="s">
        <v>26</v>
      </c>
      <c r="J193" s="97" t="s">
        <v>26</v>
      </c>
      <c r="K193" s="97" t="s">
        <v>26</v>
      </c>
      <c r="L193" s="97" t="s">
        <v>26</v>
      </c>
      <c r="M193" s="95" t="s">
        <v>24</v>
      </c>
      <c r="N193" s="97" t="s">
        <v>26</v>
      </c>
      <c r="O193" s="97" t="s">
        <v>26</v>
      </c>
      <c r="P193" s="97" t="s">
        <v>26</v>
      </c>
      <c r="Q193" s="97" t="s">
        <v>26</v>
      </c>
      <c r="R193" s="97" t="s">
        <v>26</v>
      </c>
      <c r="S193" s="95" t="s">
        <v>24</v>
      </c>
      <c r="T193" s="95" t="s">
        <v>24</v>
      </c>
      <c r="U193" s="96" t="s">
        <v>88</v>
      </c>
      <c r="V193" s="97" t="s">
        <v>26</v>
      </c>
      <c r="W193" s="97" t="s">
        <v>26</v>
      </c>
      <c r="X193" s="97" t="s">
        <v>26</v>
      </c>
      <c r="Y193" s="97" t="s">
        <v>26</v>
      </c>
      <c r="Z193" s="95" t="s">
        <v>24</v>
      </c>
      <c r="AA193" s="95" t="s">
        <v>24</v>
      </c>
      <c r="AB193" s="97" t="s">
        <v>26</v>
      </c>
      <c r="AC193" s="97" t="s">
        <v>26</v>
      </c>
      <c r="AD193" s="97" t="s">
        <v>26</v>
      </c>
      <c r="AE193" s="97" t="s">
        <v>26</v>
      </c>
      <c r="AF193" s="97" t="s">
        <v>26</v>
      </c>
      <c r="AG193" s="95" t="s">
        <v>24</v>
      </c>
      <c r="AH193" s="95" t="s">
        <v>24</v>
      </c>
      <c r="AI193" s="98">
        <v>31</v>
      </c>
      <c r="AJ193" s="98">
        <f t="shared" si="11"/>
        <v>18</v>
      </c>
      <c r="AK193" s="98">
        <v>10</v>
      </c>
      <c r="AL193" s="98">
        <v>2</v>
      </c>
      <c r="AM193" s="98">
        <v>1</v>
      </c>
      <c r="AN193" s="98"/>
      <c r="AO193" s="98">
        <v>1</v>
      </c>
      <c r="AP193" s="98"/>
      <c r="AQ193" s="98"/>
      <c r="AR193" s="98"/>
      <c r="AS193" s="98"/>
      <c r="AT193" s="98">
        <f t="shared" si="12"/>
        <v>0</v>
      </c>
      <c r="AU193" s="99" t="s">
        <v>89</v>
      </c>
    </row>
    <row r="194" customFormat="1" ht="34" customHeight="1" spans="1:47">
      <c r="A194" s="92">
        <f t="shared" si="10"/>
        <v>191</v>
      </c>
      <c r="B194" s="93" t="s">
        <v>283</v>
      </c>
      <c r="C194" s="94" t="s">
        <v>275</v>
      </c>
      <c r="D194" s="95" t="s">
        <v>23</v>
      </c>
      <c r="E194" s="95" t="s">
        <v>23</v>
      </c>
      <c r="F194" s="95" t="s">
        <v>24</v>
      </c>
      <c r="G194" s="95" t="s">
        <v>24</v>
      </c>
      <c r="H194" s="95" t="s">
        <v>24</v>
      </c>
      <c r="I194" s="97" t="s">
        <v>26</v>
      </c>
      <c r="J194" s="97" t="s">
        <v>26</v>
      </c>
      <c r="K194" s="97" t="s">
        <v>26</v>
      </c>
      <c r="L194" s="97" t="s">
        <v>26</v>
      </c>
      <c r="M194" s="95" t="s">
        <v>24</v>
      </c>
      <c r="N194" s="97" t="s">
        <v>26</v>
      </c>
      <c r="O194" s="97" t="s">
        <v>26</v>
      </c>
      <c r="P194" s="97" t="s">
        <v>26</v>
      </c>
      <c r="Q194" s="97" t="s">
        <v>26</v>
      </c>
      <c r="R194" s="97" t="s">
        <v>26</v>
      </c>
      <c r="S194" s="95" t="s">
        <v>24</v>
      </c>
      <c r="T194" s="95" t="s">
        <v>24</v>
      </c>
      <c r="U194" s="97" t="s">
        <v>26</v>
      </c>
      <c r="V194" s="97" t="s">
        <v>26</v>
      </c>
      <c r="W194" s="97" t="s">
        <v>26</v>
      </c>
      <c r="X194" s="97" t="s">
        <v>26</v>
      </c>
      <c r="Y194" s="97" t="s">
        <v>26</v>
      </c>
      <c r="Z194" s="95" t="s">
        <v>24</v>
      </c>
      <c r="AA194" s="95" t="s">
        <v>24</v>
      </c>
      <c r="AB194" s="97" t="s">
        <v>26</v>
      </c>
      <c r="AC194" s="97" t="s">
        <v>26</v>
      </c>
      <c r="AD194" s="97" t="s">
        <v>26</v>
      </c>
      <c r="AE194" s="97" t="s">
        <v>26</v>
      </c>
      <c r="AF194" s="97" t="s">
        <v>26</v>
      </c>
      <c r="AG194" s="95" t="s">
        <v>24</v>
      </c>
      <c r="AH194" s="95" t="s">
        <v>24</v>
      </c>
      <c r="AI194" s="98">
        <v>31</v>
      </c>
      <c r="AJ194" s="98">
        <f t="shared" si="11"/>
        <v>19</v>
      </c>
      <c r="AK194" s="98">
        <v>10</v>
      </c>
      <c r="AL194" s="98">
        <v>2</v>
      </c>
      <c r="AM194" s="98"/>
      <c r="AN194" s="98"/>
      <c r="AO194" s="98"/>
      <c r="AP194" s="98"/>
      <c r="AQ194" s="98"/>
      <c r="AR194" s="98"/>
      <c r="AS194" s="98"/>
      <c r="AT194" s="98">
        <f t="shared" si="12"/>
        <v>0</v>
      </c>
      <c r="AU194" s="99"/>
    </row>
    <row r="195" customFormat="1" ht="34" customHeight="1" spans="1:47">
      <c r="A195" s="92">
        <f t="shared" si="10"/>
        <v>192</v>
      </c>
      <c r="B195" s="93" t="s">
        <v>284</v>
      </c>
      <c r="C195" s="94" t="s">
        <v>275</v>
      </c>
      <c r="D195" s="95" t="s">
        <v>23</v>
      </c>
      <c r="E195" s="95" t="s">
        <v>23</v>
      </c>
      <c r="F195" s="95" t="s">
        <v>24</v>
      </c>
      <c r="G195" s="95" t="s">
        <v>24</v>
      </c>
      <c r="H195" s="95" t="s">
        <v>24</v>
      </c>
      <c r="I195" s="97" t="s">
        <v>26</v>
      </c>
      <c r="J195" s="97" t="s">
        <v>26</v>
      </c>
      <c r="K195" s="97" t="s">
        <v>26</v>
      </c>
      <c r="L195" s="97" t="s">
        <v>26</v>
      </c>
      <c r="M195" s="95" t="s">
        <v>24</v>
      </c>
      <c r="N195" s="97" t="s">
        <v>26</v>
      </c>
      <c r="O195" s="97" t="s">
        <v>26</v>
      </c>
      <c r="P195" s="97" t="s">
        <v>26</v>
      </c>
      <c r="Q195" s="97" t="s">
        <v>26</v>
      </c>
      <c r="R195" s="97" t="s">
        <v>26</v>
      </c>
      <c r="S195" s="95" t="s">
        <v>24</v>
      </c>
      <c r="T195" s="95" t="s">
        <v>24</v>
      </c>
      <c r="U195" s="97" t="s">
        <v>26</v>
      </c>
      <c r="V195" s="97" t="s">
        <v>26</v>
      </c>
      <c r="W195" s="97" t="s">
        <v>26</v>
      </c>
      <c r="X195" s="97" t="s">
        <v>26</v>
      </c>
      <c r="Y195" s="97" t="s">
        <v>26</v>
      </c>
      <c r="Z195" s="95" t="s">
        <v>24</v>
      </c>
      <c r="AA195" s="95" t="s">
        <v>24</v>
      </c>
      <c r="AB195" s="97" t="s">
        <v>26</v>
      </c>
      <c r="AC195" s="97" t="s">
        <v>26</v>
      </c>
      <c r="AD195" s="97" t="s">
        <v>26</v>
      </c>
      <c r="AE195" s="97" t="s">
        <v>26</v>
      </c>
      <c r="AF195" s="97" t="s">
        <v>26</v>
      </c>
      <c r="AG195" s="95" t="s">
        <v>24</v>
      </c>
      <c r="AH195" s="95" t="s">
        <v>24</v>
      </c>
      <c r="AI195" s="98">
        <v>31</v>
      </c>
      <c r="AJ195" s="98">
        <f t="shared" si="11"/>
        <v>19</v>
      </c>
      <c r="AK195" s="98">
        <v>10</v>
      </c>
      <c r="AL195" s="98">
        <v>2</v>
      </c>
      <c r="AM195" s="98"/>
      <c r="AN195" s="98"/>
      <c r="AO195" s="98"/>
      <c r="AP195" s="98"/>
      <c r="AQ195" s="98"/>
      <c r="AR195" s="98"/>
      <c r="AS195" s="98"/>
      <c r="AT195" s="98">
        <f t="shared" si="12"/>
        <v>0</v>
      </c>
      <c r="AU195" s="99"/>
    </row>
    <row r="196" customFormat="1" ht="35" customHeight="1" spans="1:47">
      <c r="A196" s="92">
        <f t="shared" si="10"/>
        <v>193</v>
      </c>
      <c r="B196" s="93" t="s">
        <v>285</v>
      </c>
      <c r="C196" s="94" t="s">
        <v>275</v>
      </c>
      <c r="D196" s="95" t="s">
        <v>23</v>
      </c>
      <c r="E196" s="95" t="s">
        <v>23</v>
      </c>
      <c r="F196" s="95" t="s">
        <v>24</v>
      </c>
      <c r="G196" s="95" t="s">
        <v>24</v>
      </c>
      <c r="H196" s="95" t="s">
        <v>24</v>
      </c>
      <c r="I196" s="97" t="s">
        <v>26</v>
      </c>
      <c r="J196" s="97" t="s">
        <v>26</v>
      </c>
      <c r="K196" s="97" t="s">
        <v>26</v>
      </c>
      <c r="L196" s="97" t="s">
        <v>26</v>
      </c>
      <c r="M196" s="95" t="s">
        <v>24</v>
      </c>
      <c r="N196" s="97" t="s">
        <v>26</v>
      </c>
      <c r="O196" s="97" t="s">
        <v>26</v>
      </c>
      <c r="P196" s="97" t="s">
        <v>26</v>
      </c>
      <c r="Q196" s="97" t="s">
        <v>26</v>
      </c>
      <c r="R196" s="97" t="s">
        <v>26</v>
      </c>
      <c r="S196" s="95" t="s">
        <v>24</v>
      </c>
      <c r="T196" s="95" t="s">
        <v>24</v>
      </c>
      <c r="U196" s="97" t="s">
        <v>26</v>
      </c>
      <c r="V196" s="97" t="s">
        <v>26</v>
      </c>
      <c r="W196" s="97" t="s">
        <v>26</v>
      </c>
      <c r="X196" s="97" t="s">
        <v>26</v>
      </c>
      <c r="Y196" s="97" t="s">
        <v>26</v>
      </c>
      <c r="Z196" s="95" t="s">
        <v>24</v>
      </c>
      <c r="AA196" s="95" t="s">
        <v>24</v>
      </c>
      <c r="AB196" s="97" t="s">
        <v>26</v>
      </c>
      <c r="AC196" s="97" t="s">
        <v>26</v>
      </c>
      <c r="AD196" s="97" t="s">
        <v>26</v>
      </c>
      <c r="AE196" s="97" t="s">
        <v>26</v>
      </c>
      <c r="AF196" s="97" t="s">
        <v>26</v>
      </c>
      <c r="AG196" s="95" t="s">
        <v>24</v>
      </c>
      <c r="AH196" s="95" t="s">
        <v>24</v>
      </c>
      <c r="AI196" s="98">
        <v>31</v>
      </c>
      <c r="AJ196" s="98">
        <f t="shared" si="11"/>
        <v>19</v>
      </c>
      <c r="AK196" s="98">
        <v>10</v>
      </c>
      <c r="AL196" s="98">
        <v>2</v>
      </c>
      <c r="AM196" s="98"/>
      <c r="AN196" s="98"/>
      <c r="AO196" s="98"/>
      <c r="AP196" s="98"/>
      <c r="AQ196" s="98"/>
      <c r="AR196" s="98"/>
      <c r="AS196" s="98"/>
      <c r="AT196" s="98">
        <f t="shared" si="12"/>
        <v>0</v>
      </c>
      <c r="AU196" s="99"/>
    </row>
    <row r="197" customFormat="1" ht="30" customHeight="1" spans="1:47">
      <c r="A197" s="92">
        <f t="shared" si="10"/>
        <v>194</v>
      </c>
      <c r="B197" s="93" t="s">
        <v>286</v>
      </c>
      <c r="C197" s="94" t="s">
        <v>275</v>
      </c>
      <c r="D197" s="95" t="s">
        <v>23</v>
      </c>
      <c r="E197" s="95" t="s">
        <v>23</v>
      </c>
      <c r="F197" s="95" t="s">
        <v>24</v>
      </c>
      <c r="G197" s="95" t="s">
        <v>24</v>
      </c>
      <c r="H197" s="95" t="s">
        <v>24</v>
      </c>
      <c r="I197" s="97" t="s">
        <v>26</v>
      </c>
      <c r="J197" s="97" t="s">
        <v>26</v>
      </c>
      <c r="K197" s="97" t="s">
        <v>26</v>
      </c>
      <c r="L197" s="97" t="s">
        <v>26</v>
      </c>
      <c r="M197" s="95" t="s">
        <v>24</v>
      </c>
      <c r="N197" s="97" t="s">
        <v>26</v>
      </c>
      <c r="O197" s="97" t="s">
        <v>26</v>
      </c>
      <c r="P197" s="97" t="s">
        <v>26</v>
      </c>
      <c r="Q197" s="97" t="s">
        <v>26</v>
      </c>
      <c r="R197" s="97" t="s">
        <v>26</v>
      </c>
      <c r="S197" s="95" t="s">
        <v>24</v>
      </c>
      <c r="T197" s="95" t="s">
        <v>24</v>
      </c>
      <c r="U197" s="97" t="s">
        <v>26</v>
      </c>
      <c r="V197" s="97" t="s">
        <v>26</v>
      </c>
      <c r="W197" s="97" t="s">
        <v>26</v>
      </c>
      <c r="X197" s="97" t="s">
        <v>26</v>
      </c>
      <c r="Y197" s="97" t="s">
        <v>26</v>
      </c>
      <c r="Z197" s="95" t="s">
        <v>24</v>
      </c>
      <c r="AA197" s="95" t="s">
        <v>24</v>
      </c>
      <c r="AB197" s="97" t="s">
        <v>26</v>
      </c>
      <c r="AC197" s="97" t="s">
        <v>26</v>
      </c>
      <c r="AD197" s="97" t="s">
        <v>26</v>
      </c>
      <c r="AE197" s="97" t="s">
        <v>26</v>
      </c>
      <c r="AF197" s="97" t="s">
        <v>26</v>
      </c>
      <c r="AG197" s="95" t="s">
        <v>24</v>
      </c>
      <c r="AH197" s="95" t="s">
        <v>24</v>
      </c>
      <c r="AI197" s="98">
        <v>31</v>
      </c>
      <c r="AJ197" s="98">
        <f t="shared" si="11"/>
        <v>19</v>
      </c>
      <c r="AK197" s="98">
        <v>10</v>
      </c>
      <c r="AL197" s="98">
        <v>2</v>
      </c>
      <c r="AM197" s="98"/>
      <c r="AN197" s="98"/>
      <c r="AO197" s="98"/>
      <c r="AP197" s="98"/>
      <c r="AQ197" s="98"/>
      <c r="AR197" s="98"/>
      <c r="AS197" s="98"/>
      <c r="AT197" s="98">
        <f t="shared" si="12"/>
        <v>0</v>
      </c>
      <c r="AU197" s="99"/>
    </row>
    <row r="198" customFormat="1" ht="34" customHeight="1" spans="1:47">
      <c r="A198" s="92">
        <f t="shared" si="10"/>
        <v>195</v>
      </c>
      <c r="B198" s="93" t="s">
        <v>287</v>
      </c>
      <c r="C198" s="94" t="s">
        <v>288</v>
      </c>
      <c r="D198" s="95" t="s">
        <v>23</v>
      </c>
      <c r="E198" s="95" t="s">
        <v>23</v>
      </c>
      <c r="F198" s="95" t="s">
        <v>24</v>
      </c>
      <c r="G198" s="95" t="s">
        <v>24</v>
      </c>
      <c r="H198" s="95" t="s">
        <v>24</v>
      </c>
      <c r="I198" s="97" t="s">
        <v>26</v>
      </c>
      <c r="J198" s="97" t="s">
        <v>26</v>
      </c>
      <c r="K198" s="97" t="s">
        <v>26</v>
      </c>
      <c r="L198" s="97" t="s">
        <v>26</v>
      </c>
      <c r="M198" s="95" t="s">
        <v>24</v>
      </c>
      <c r="N198" s="97" t="s">
        <v>26</v>
      </c>
      <c r="O198" s="97" t="s">
        <v>26</v>
      </c>
      <c r="P198" s="97" t="s">
        <v>26</v>
      </c>
      <c r="Q198" s="97" t="s">
        <v>26</v>
      </c>
      <c r="R198" s="97" t="s">
        <v>26</v>
      </c>
      <c r="S198" s="95" t="s">
        <v>24</v>
      </c>
      <c r="T198" s="95" t="s">
        <v>24</v>
      </c>
      <c r="U198" s="97" t="s">
        <v>26</v>
      </c>
      <c r="V198" s="97" t="s">
        <v>26</v>
      </c>
      <c r="W198" s="97" t="s">
        <v>26</v>
      </c>
      <c r="X198" s="97" t="s">
        <v>26</v>
      </c>
      <c r="Y198" s="97" t="s">
        <v>26</v>
      </c>
      <c r="Z198" s="95" t="s">
        <v>24</v>
      </c>
      <c r="AA198" s="95" t="s">
        <v>24</v>
      </c>
      <c r="AB198" s="97" t="s">
        <v>26</v>
      </c>
      <c r="AC198" s="97" t="s">
        <v>26</v>
      </c>
      <c r="AD198" s="97" t="s">
        <v>26</v>
      </c>
      <c r="AE198" s="97" t="s">
        <v>26</v>
      </c>
      <c r="AF198" s="97" t="s">
        <v>26</v>
      </c>
      <c r="AG198" s="95" t="s">
        <v>24</v>
      </c>
      <c r="AH198" s="95" t="s">
        <v>24</v>
      </c>
      <c r="AI198" s="98">
        <v>31</v>
      </c>
      <c r="AJ198" s="98">
        <f t="shared" si="11"/>
        <v>19</v>
      </c>
      <c r="AK198" s="98">
        <v>10</v>
      </c>
      <c r="AL198" s="98">
        <v>2</v>
      </c>
      <c r="AM198" s="98"/>
      <c r="AN198" s="98"/>
      <c r="AO198" s="98"/>
      <c r="AP198" s="98"/>
      <c r="AQ198" s="98"/>
      <c r="AR198" s="98"/>
      <c r="AS198" s="98"/>
      <c r="AT198" s="98">
        <f t="shared" si="12"/>
        <v>0</v>
      </c>
      <c r="AU198" s="99"/>
    </row>
    <row r="199" customFormat="1" ht="34" customHeight="1" spans="1:47">
      <c r="A199" s="92">
        <f t="shared" si="10"/>
        <v>196</v>
      </c>
      <c r="B199" s="93" t="s">
        <v>289</v>
      </c>
      <c r="C199" s="94" t="s">
        <v>288</v>
      </c>
      <c r="D199" s="95" t="s">
        <v>23</v>
      </c>
      <c r="E199" s="95" t="s">
        <v>23</v>
      </c>
      <c r="F199" s="95" t="s">
        <v>24</v>
      </c>
      <c r="G199" s="95" t="s">
        <v>24</v>
      </c>
      <c r="H199" s="95" t="s">
        <v>24</v>
      </c>
      <c r="I199" s="97" t="s">
        <v>26</v>
      </c>
      <c r="J199" s="97" t="s">
        <v>26</v>
      </c>
      <c r="K199" s="97" t="s">
        <v>26</v>
      </c>
      <c r="L199" s="97" t="s">
        <v>26</v>
      </c>
      <c r="M199" s="95" t="s">
        <v>24</v>
      </c>
      <c r="N199" s="97" t="s">
        <v>26</v>
      </c>
      <c r="O199" s="97" t="s">
        <v>26</v>
      </c>
      <c r="P199" s="97" t="s">
        <v>26</v>
      </c>
      <c r="Q199" s="97" t="s">
        <v>26</v>
      </c>
      <c r="R199" s="97" t="s">
        <v>26</v>
      </c>
      <c r="S199" s="95" t="s">
        <v>24</v>
      </c>
      <c r="T199" s="95" t="s">
        <v>24</v>
      </c>
      <c r="U199" s="97" t="s">
        <v>26</v>
      </c>
      <c r="V199" s="97" t="s">
        <v>26</v>
      </c>
      <c r="W199" s="97" t="s">
        <v>26</v>
      </c>
      <c r="X199" s="97" t="s">
        <v>26</v>
      </c>
      <c r="Y199" s="97" t="s">
        <v>26</v>
      </c>
      <c r="Z199" s="95" t="s">
        <v>24</v>
      </c>
      <c r="AA199" s="95" t="s">
        <v>24</v>
      </c>
      <c r="AB199" s="97" t="s">
        <v>26</v>
      </c>
      <c r="AC199" s="97" t="s">
        <v>26</v>
      </c>
      <c r="AD199" s="97" t="s">
        <v>26</v>
      </c>
      <c r="AE199" s="97" t="s">
        <v>26</v>
      </c>
      <c r="AF199" s="97" t="s">
        <v>26</v>
      </c>
      <c r="AG199" s="95" t="s">
        <v>24</v>
      </c>
      <c r="AH199" s="95" t="s">
        <v>24</v>
      </c>
      <c r="AI199" s="98">
        <v>31</v>
      </c>
      <c r="AJ199" s="98">
        <f t="shared" si="11"/>
        <v>19</v>
      </c>
      <c r="AK199" s="98">
        <v>10</v>
      </c>
      <c r="AL199" s="98">
        <v>2</v>
      </c>
      <c r="AM199" s="98"/>
      <c r="AN199" s="98"/>
      <c r="AO199" s="98"/>
      <c r="AP199" s="98"/>
      <c r="AQ199" s="98"/>
      <c r="AR199" s="98"/>
      <c r="AS199" s="98"/>
      <c r="AT199" s="98">
        <f t="shared" si="12"/>
        <v>0</v>
      </c>
      <c r="AU199" s="99"/>
    </row>
    <row r="200" customFormat="1" ht="34" customHeight="1" spans="1:47">
      <c r="A200" s="92">
        <f t="shared" si="10"/>
        <v>197</v>
      </c>
      <c r="B200" s="93" t="s">
        <v>290</v>
      </c>
      <c r="C200" s="94" t="s">
        <v>271</v>
      </c>
      <c r="D200" s="95" t="s">
        <v>23</v>
      </c>
      <c r="E200" s="95" t="s">
        <v>23</v>
      </c>
      <c r="F200" s="95" t="s">
        <v>24</v>
      </c>
      <c r="G200" s="95" t="s">
        <v>24</v>
      </c>
      <c r="H200" s="95" t="s">
        <v>24</v>
      </c>
      <c r="I200" s="97" t="s">
        <v>26</v>
      </c>
      <c r="J200" s="97" t="s">
        <v>26</v>
      </c>
      <c r="K200" s="97" t="s">
        <v>26</v>
      </c>
      <c r="L200" s="97" t="s">
        <v>26</v>
      </c>
      <c r="M200" s="95" t="s">
        <v>24</v>
      </c>
      <c r="N200" s="97" t="s">
        <v>26</v>
      </c>
      <c r="O200" s="97" t="s">
        <v>26</v>
      </c>
      <c r="P200" s="97" t="s">
        <v>26</v>
      </c>
      <c r="Q200" s="97" t="s">
        <v>26</v>
      </c>
      <c r="R200" s="97" t="s">
        <v>26</v>
      </c>
      <c r="S200" s="95" t="s">
        <v>24</v>
      </c>
      <c r="T200" s="95" t="s">
        <v>24</v>
      </c>
      <c r="U200" s="97" t="s">
        <v>26</v>
      </c>
      <c r="V200" s="97" t="s">
        <v>26</v>
      </c>
      <c r="W200" s="97" t="s">
        <v>26</v>
      </c>
      <c r="X200" s="97" t="s">
        <v>26</v>
      </c>
      <c r="Y200" s="97" t="s">
        <v>26</v>
      </c>
      <c r="Z200" s="95" t="s">
        <v>24</v>
      </c>
      <c r="AA200" s="95" t="s">
        <v>24</v>
      </c>
      <c r="AB200" s="97" t="s">
        <v>26</v>
      </c>
      <c r="AC200" s="97" t="s">
        <v>26</v>
      </c>
      <c r="AD200" s="97" t="s">
        <v>26</v>
      </c>
      <c r="AE200" s="97" t="s">
        <v>26</v>
      </c>
      <c r="AF200" s="97" t="s">
        <v>26</v>
      </c>
      <c r="AG200" s="95" t="s">
        <v>24</v>
      </c>
      <c r="AH200" s="95" t="s">
        <v>24</v>
      </c>
      <c r="AI200" s="98">
        <v>31</v>
      </c>
      <c r="AJ200" s="98">
        <f t="shared" si="11"/>
        <v>19</v>
      </c>
      <c r="AK200" s="98">
        <v>10</v>
      </c>
      <c r="AL200" s="98">
        <v>2</v>
      </c>
      <c r="AM200" s="98"/>
      <c r="AN200" s="98"/>
      <c r="AO200" s="98"/>
      <c r="AP200" s="98"/>
      <c r="AQ200" s="98"/>
      <c r="AR200" s="98"/>
      <c r="AS200" s="98"/>
      <c r="AT200" s="98">
        <f t="shared" si="12"/>
        <v>0</v>
      </c>
      <c r="AU200" s="99"/>
    </row>
    <row r="201" customFormat="1" ht="26" customHeight="1" spans="1:47">
      <c r="A201" s="113"/>
      <c r="B201" s="14"/>
      <c r="C201" s="114"/>
      <c r="D201" s="115"/>
      <c r="E201" s="116"/>
      <c r="F201" s="116"/>
      <c r="G201" s="115"/>
      <c r="H201" s="115"/>
      <c r="I201" s="115"/>
      <c r="J201" s="115"/>
      <c r="K201" s="115"/>
      <c r="L201" s="116"/>
      <c r="M201" s="116"/>
      <c r="N201" s="115"/>
      <c r="O201" s="115"/>
      <c r="P201" s="115"/>
      <c r="Q201" s="115"/>
      <c r="R201" s="115"/>
      <c r="S201" s="116"/>
      <c r="T201" s="116"/>
      <c r="U201" s="115"/>
      <c r="V201" s="115"/>
      <c r="W201" s="115"/>
      <c r="X201" s="115"/>
      <c r="Y201" s="115"/>
      <c r="Z201" s="116"/>
      <c r="AA201" s="116"/>
      <c r="AB201" s="115"/>
      <c r="AC201" s="115"/>
      <c r="AD201" s="116"/>
      <c r="AE201" s="116"/>
      <c r="AF201" s="116"/>
      <c r="AG201" s="116"/>
      <c r="AH201" s="116"/>
      <c r="AI201" s="98">
        <f>SUM(AI4:AI200)</f>
        <v>6107</v>
      </c>
      <c r="AJ201" s="98">
        <f>SUM(AJ4:AJ200)</f>
        <v>3452.69</v>
      </c>
      <c r="AK201" s="98">
        <f t="shared" ref="AI201:AT201" si="13">SUM(AK4:AK200)</f>
        <v>1967</v>
      </c>
      <c r="AL201" s="98">
        <f t="shared" si="13"/>
        <v>366</v>
      </c>
      <c r="AM201" s="98">
        <f t="shared" si="13"/>
        <v>321.31</v>
      </c>
      <c r="AN201" s="98">
        <f t="shared" si="13"/>
        <v>5</v>
      </c>
      <c r="AO201" s="98">
        <f t="shared" si="13"/>
        <v>31.82</v>
      </c>
      <c r="AP201" s="98">
        <f t="shared" si="13"/>
        <v>0</v>
      </c>
      <c r="AQ201" s="98">
        <f t="shared" si="13"/>
        <v>0</v>
      </c>
      <c r="AR201" s="98">
        <f t="shared" si="13"/>
        <v>6</v>
      </c>
      <c r="AS201" s="98">
        <f t="shared" si="13"/>
        <v>0</v>
      </c>
      <c r="AT201" s="98">
        <f t="shared" si="13"/>
        <v>278.49</v>
      </c>
      <c r="AU201" s="99"/>
    </row>
    <row r="202" ht="13.5" spans="1:47">
      <c r="A202" s="113"/>
      <c r="D202" s="82"/>
      <c r="U202" s="117"/>
      <c r="V202" s="117"/>
      <c r="W202" s="117"/>
      <c r="X202" s="117"/>
      <c r="AU202" s="115"/>
    </row>
    <row r="203" spans="1:47">
      <c r="B203" s="118"/>
      <c r="C203" s="119"/>
      <c r="D203" s="82"/>
      <c r="AD203" s="115"/>
      <c r="AE203" s="115"/>
      <c r="AF203" s="115"/>
      <c r="AG203" s="115"/>
      <c r="AH203" s="115"/>
      <c r="AI203" s="115"/>
      <c r="AJ203" s="115"/>
      <c r="AK203" s="115"/>
      <c r="AL203" s="115"/>
      <c r="AM203" s="115"/>
      <c r="AN203" s="115"/>
      <c r="AO203" s="115"/>
      <c r="AP203" s="115"/>
      <c r="AQ203" s="115"/>
      <c r="AR203" s="115"/>
      <c r="AS203" s="115"/>
      <c r="AT203" s="115"/>
      <c r="AU203" s="115"/>
    </row>
    <row r="204" ht="13.5" spans="1:47">
      <c r="A204" s="120" t="s">
        <v>291</v>
      </c>
      <c r="D204" s="82"/>
      <c r="V204" s="121"/>
      <c r="AD204" s="122"/>
      <c r="AE204" s="122"/>
      <c r="AF204" s="122"/>
      <c r="AG204" s="122"/>
      <c r="AH204" s="122"/>
      <c r="AI204" s="122"/>
      <c r="AJ204" s="122"/>
      <c r="AK204" s="122"/>
      <c r="AL204" s="122"/>
      <c r="AM204" s="122"/>
      <c r="AN204" s="122"/>
      <c r="AO204" s="122"/>
      <c r="AP204" s="122"/>
      <c r="AQ204" s="122"/>
      <c r="AR204" s="122"/>
      <c r="AS204" s="122"/>
      <c r="AT204" s="122"/>
      <c r="AU204" s="115"/>
    </row>
    <row r="205" ht="13.5" spans="1:47">
      <c r="A205" s="120"/>
      <c r="D205" s="82"/>
      <c r="V205" s="121"/>
      <c r="AD205" s="122"/>
      <c r="AE205" s="122"/>
      <c r="AF205" s="122"/>
      <c r="AG205" s="122"/>
      <c r="AH205" s="122"/>
      <c r="AI205" s="122"/>
      <c r="AJ205" s="122"/>
      <c r="AK205" s="122"/>
      <c r="AL205" s="122"/>
      <c r="AM205" s="122"/>
      <c r="AN205" s="122"/>
      <c r="AO205" s="122"/>
      <c r="AP205" s="122"/>
      <c r="AQ205" s="122"/>
      <c r="AR205" s="122"/>
      <c r="AS205" s="122"/>
      <c r="AT205" s="122"/>
      <c r="AU205" s="115"/>
    </row>
    <row r="206" ht="13.5" spans="1:47">
      <c r="A206" s="120"/>
      <c r="D206" s="82"/>
      <c r="V206" s="121"/>
      <c r="AD206" s="122"/>
      <c r="AE206" s="122"/>
      <c r="AF206" s="122"/>
      <c r="AG206" s="122"/>
      <c r="AH206" s="122"/>
      <c r="AI206" s="122"/>
      <c r="AJ206" s="122"/>
      <c r="AK206" s="122"/>
      <c r="AL206" s="122"/>
      <c r="AM206" s="122"/>
      <c r="AN206" s="122"/>
      <c r="AO206" s="122"/>
      <c r="AP206" s="122"/>
      <c r="AQ206" s="122"/>
      <c r="AR206" s="122"/>
      <c r="AS206" s="122"/>
      <c r="AT206" s="122"/>
      <c r="AU206" s="115"/>
    </row>
    <row r="207" spans="1:47">
      <c r="U207" s="100" t="s">
        <v>292</v>
      </c>
      <c r="V207" s="96" t="s">
        <v>293</v>
      </c>
      <c r="W207" s="103" t="s">
        <v>211</v>
      </c>
      <c r="X207" s="117"/>
      <c r="Y207" s="123"/>
      <c r="Z207" s="123"/>
      <c r="AA207" s="123"/>
      <c r="AB207" s="123"/>
      <c r="AC207" s="123"/>
      <c r="AD207" s="115"/>
      <c r="AE207" s="115"/>
      <c r="AF207" s="115"/>
      <c r="AG207" s="115"/>
      <c r="AH207" s="115"/>
      <c r="AI207" s="115"/>
      <c r="AJ207" s="115"/>
      <c r="AK207" s="115"/>
      <c r="AL207" s="115"/>
      <c r="AM207" s="115"/>
      <c r="AN207" s="115"/>
      <c r="AO207" s="115"/>
      <c r="AP207" s="115"/>
      <c r="AQ207" s="115"/>
      <c r="AR207" s="115"/>
      <c r="AS207" s="115"/>
      <c r="AT207" s="115"/>
      <c r="AU207" s="115"/>
    </row>
    <row r="208" spans="1:47">
      <c r="G208" s="123"/>
      <c r="H208" s="124"/>
      <c r="I208" s="124"/>
      <c r="J208" s="125"/>
      <c r="K208" s="125"/>
      <c r="S208" s="123"/>
      <c r="T208" s="124"/>
      <c r="U208" s="124"/>
      <c r="V208" s="123"/>
      <c r="W208" s="125"/>
      <c r="X208" s="117"/>
      <c r="Y208" s="123"/>
      <c r="Z208" s="123"/>
      <c r="AA208" s="123"/>
      <c r="AB208" s="123"/>
      <c r="AC208" s="123"/>
      <c r="AD208" s="115"/>
      <c r="AE208" s="115"/>
      <c r="AF208" s="115"/>
      <c r="AG208" s="115"/>
      <c r="AH208" s="115"/>
      <c r="AI208" s="115"/>
      <c r="AJ208" s="115"/>
      <c r="AK208" s="115"/>
      <c r="AL208" s="115"/>
      <c r="AM208" s="115"/>
      <c r="AN208" s="126" t="s">
        <v>294</v>
      </c>
      <c r="AO208" s="126">
        <v>197</v>
      </c>
      <c r="AP208" s="126"/>
      <c r="AQ208" s="115"/>
      <c r="AR208" s="115"/>
      <c r="AS208" s="115"/>
      <c r="AT208" s="115"/>
      <c r="AU208" s="115"/>
    </row>
    <row r="209" spans="2:47">
      <c r="B209" s="14"/>
      <c r="AN209" s="126" t="s">
        <v>295</v>
      </c>
      <c r="AO209" s="127">
        <v>176</v>
      </c>
      <c r="AP209" s="127" t="s">
        <v>296</v>
      </c>
      <c r="AU209" s="115"/>
    </row>
    <row r="210" spans="2:47">
      <c r="B210" s="14"/>
      <c r="AC210" s="124"/>
      <c r="AD210" s="123"/>
      <c r="AE210" s="123"/>
      <c r="AF210" s="123"/>
      <c r="AG210" s="123"/>
      <c r="AH210" s="115"/>
      <c r="AI210" s="115"/>
      <c r="AJ210" s="115"/>
      <c r="AK210" s="115"/>
      <c r="AL210" s="115"/>
      <c r="AM210" s="115"/>
      <c r="AN210" s="127" t="s">
        <v>297</v>
      </c>
      <c r="AO210" s="127">
        <v>11</v>
      </c>
      <c r="AP210" s="127"/>
      <c r="AQ210" s="115"/>
      <c r="AR210" s="115"/>
      <c r="AS210" s="115"/>
      <c r="AT210" s="115"/>
      <c r="AU210" s="115"/>
    </row>
    <row r="211" spans="2:47">
      <c r="B211" s="14"/>
      <c r="U211" s="121"/>
      <c r="V211" s="121"/>
      <c r="W211" s="121"/>
      <c r="X211" s="121"/>
      <c r="Y211" s="121"/>
      <c r="AC211" s="121"/>
      <c r="AD211" s="121"/>
      <c r="AE211" s="121"/>
      <c r="AF211" s="121"/>
      <c r="AG211" s="121"/>
      <c r="AN211" s="127" t="s">
        <v>298</v>
      </c>
      <c r="AO211" s="127">
        <v>10</v>
      </c>
      <c r="AP211" s="127"/>
      <c r="AU211" s="115"/>
    </row>
    <row r="212" spans="2:47">
      <c r="B212" s="14"/>
      <c r="U212" s="121"/>
      <c r="V212" s="125"/>
      <c r="W212" s="124"/>
      <c r="X212" s="123"/>
      <c r="Y212" s="125"/>
      <c r="AU212" s="128"/>
    </row>
    <row r="213" spans="2:47">
      <c r="B213" s="14"/>
      <c r="W213" s="124"/>
      <c r="AU213" s="128"/>
    </row>
    <row r="214" spans="2:47">
      <c r="B214" s="14"/>
      <c r="W214" s="124"/>
      <c r="AU214" s="128"/>
    </row>
    <row r="215" spans="2:47">
      <c r="B215" s="14"/>
      <c r="W215" s="125"/>
      <c r="AU215" s="128"/>
    </row>
    <row r="216" spans="2:47">
      <c r="B216" s="14"/>
      <c r="W216" s="125"/>
      <c r="AU216" s="128"/>
    </row>
    <row r="217" spans="2:47">
      <c r="B217" s="14"/>
      <c r="W217" s="121"/>
      <c r="AU217" s="128"/>
    </row>
    <row r="218" spans="2:47">
      <c r="B218" s="14"/>
      <c r="AU218" s="128"/>
    </row>
    <row r="219" spans="2:47">
      <c r="B219" s="14"/>
      <c r="AU219" s="128"/>
    </row>
    <row r="220" spans="2:47">
      <c r="AU220" s="128"/>
    </row>
    <row r="221" spans="2:47">
      <c r="AU221" s="128"/>
    </row>
    <row r="222" spans="2:47">
      <c r="AU222" s="128"/>
    </row>
    <row r="223" spans="2:47">
      <c r="AU223" s="128"/>
    </row>
    <row r="224" spans="2:47">
      <c r="AU224" s="128"/>
    </row>
    <row r="225" spans="47:47">
      <c r="AU225" s="128"/>
    </row>
    <row r="226" spans="47:47">
      <c r="AU226" s="128"/>
    </row>
    <row r="227" spans="47:47">
      <c r="AU227" s="128"/>
    </row>
    <row r="228" spans="47:47">
      <c r="AU228" s="128"/>
    </row>
    <row r="229" spans="47:47">
      <c r="AU229" s="128"/>
    </row>
    <row r="230" spans="47:47">
      <c r="AU230" s="128"/>
    </row>
    <row r="231" spans="47:47">
      <c r="AU231" s="128"/>
    </row>
    <row r="232" spans="47:47">
      <c r="AU232" s="128"/>
    </row>
    <row r="233" spans="47:47">
      <c r="AU233" s="128"/>
    </row>
    <row r="234" spans="47:47">
      <c r="AU234" s="128"/>
    </row>
    <row r="235" spans="47:47">
      <c r="AU235" s="128"/>
    </row>
    <row r="236" spans="47:47">
      <c r="AU236" s="128"/>
    </row>
    <row r="237" spans="47:47">
      <c r="AU237" s="128"/>
    </row>
    <row r="238" spans="47:47">
      <c r="AU238" s="128"/>
    </row>
    <row r="239" spans="47:47">
      <c r="AU239" s="128"/>
    </row>
    <row r="240" spans="47:47">
      <c r="AU240" s="128"/>
    </row>
    <row r="241" spans="47:47">
      <c r="AU241" s="128"/>
    </row>
    <row r="242" spans="47:47">
      <c r="AU242" s="128"/>
    </row>
    <row r="243" spans="47:47">
      <c r="AU243" s="128"/>
    </row>
    <row r="244" spans="47:47">
      <c r="AU244" s="128"/>
    </row>
    <row r="245" spans="47:47">
      <c r="AU245" s="128"/>
    </row>
    <row r="246" spans="47:47">
      <c r="AU246" s="128"/>
    </row>
    <row r="247" spans="47:47">
      <c r="AU247" s="128"/>
    </row>
    <row r="248" spans="47:47">
      <c r="AU248" s="128"/>
    </row>
    <row r="249" spans="47:47">
      <c r="AU249" s="128"/>
    </row>
    <row r="250" spans="47:47">
      <c r="AU250" s="128"/>
    </row>
    <row r="251" spans="47:47">
      <c r="AU251" s="128"/>
    </row>
    <row r="252" spans="47:47">
      <c r="AU252" s="128"/>
    </row>
    <row r="253" spans="47:47">
      <c r="AU253" s="128"/>
    </row>
    <row r="254" spans="47:47">
      <c r="AU254" s="128"/>
    </row>
    <row r="255" spans="47:47">
      <c r="AU255" s="128"/>
    </row>
    <row r="256" spans="47:47">
      <c r="AU256" s="128"/>
    </row>
  </sheetData>
  <autoFilter xmlns:etc="http://www.wps.cn/officeDocument/2017/etCustomData" ref="A3:AU211" etc:filterBottomFollowUsedRange="0">
    <extLst/>
  </autoFilter>
  <mergeCells count="16">
    <mergeCell ref="A1:AU1"/>
    <mergeCell ref="AK203:AL20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2:C3"/>
  </mergeCells>
  <conditionalFormatting sqref="D2:AH2">
    <cfRule type="expression" dxfId="0" priority="15568">
      <formula>WEEKDAY(D$22,2)&gt;5</formula>
    </cfRule>
  </conditionalFormatting>
  <conditionalFormatting sqref="AR2">
    <cfRule type="expression" priority="9625">
      <formula>WEEKDAY(#REF!,2)&gt;5</formula>
    </cfRule>
  </conditionalFormatting>
  <conditionalFormatting sqref="D4:E4">
    <cfRule type="expression" priority="3779">
      <formula>WEEKDAY(B$3,2)&gt;5</formula>
    </cfRule>
  </conditionalFormatting>
  <conditionalFormatting sqref="F4">
    <cfRule type="expression" priority="3778">
      <formula>WEEKDAY(D$3,2)&gt;5</formula>
    </cfRule>
  </conditionalFormatting>
  <conditionalFormatting sqref="G4">
    <cfRule type="expression" priority="3780">
      <formula>WEEKDAY(E$3,2)&gt;5</formula>
    </cfRule>
  </conditionalFormatting>
  <conditionalFormatting sqref="H4">
    <cfRule type="expression" priority="3777">
      <formula>WEEKDAY(F$3,2)&gt;5</formula>
    </cfRule>
  </conditionalFormatting>
  <conditionalFormatting sqref="I4">
    <cfRule type="expression" priority="64">
      <formula>WEEKDAY(E$3,2)&gt;5</formula>
    </cfRule>
  </conditionalFormatting>
  <conditionalFormatting sqref="J4">
    <cfRule type="expression" priority="3775">
      <formula>WEEKDAY(#REF!,2)&gt;5</formula>
    </cfRule>
  </conditionalFormatting>
  <conditionalFormatting sqref="K4">
    <cfRule type="expression" priority="4153">
      <formula>WEEKDAY(#REF!,2)&gt;5</formula>
    </cfRule>
  </conditionalFormatting>
  <conditionalFormatting sqref="M4">
    <cfRule type="expression" priority="3774">
      <formula>WEEKDAY(K$3,2)&gt;5</formula>
    </cfRule>
  </conditionalFormatting>
  <conditionalFormatting sqref="O4:Q4">
    <cfRule type="expression" priority="3773">
      <formula>WEEKDAY(#REF!,2)&gt;5</formula>
    </cfRule>
  </conditionalFormatting>
  <conditionalFormatting sqref="R4">
    <cfRule type="expression" priority="63">
      <formula>WEEKDAY(N$3,2)&gt;5</formula>
    </cfRule>
  </conditionalFormatting>
  <conditionalFormatting sqref="S4:T4">
    <cfRule type="expression" priority="3772">
      <formula>WEEKDAY(Q$3,2)&gt;5</formula>
    </cfRule>
  </conditionalFormatting>
  <conditionalFormatting sqref="U4:Y4">
    <cfRule type="expression" priority="3771">
      <formula>WEEKDAY(#REF!,2)&gt;5</formula>
    </cfRule>
  </conditionalFormatting>
  <conditionalFormatting sqref="X4:Y4">
    <cfRule type="expression" priority="4148">
      <formula>WEEKDAY(#REF!,2)&gt;5</formula>
    </cfRule>
  </conditionalFormatting>
  <conditionalFormatting sqref="Z4:AA4">
    <cfRule type="expression" priority="3770">
      <formula>WEEKDAY(X$3,2)&gt;5</formula>
    </cfRule>
  </conditionalFormatting>
  <conditionalFormatting sqref="AC4">
    <cfRule type="expression" priority="62">
      <formula>WEEKDAY(Y$3,2)&gt;5</formula>
    </cfRule>
  </conditionalFormatting>
  <conditionalFormatting sqref="AE4:AF4">
    <cfRule type="expression" priority="61">
      <formula>WEEKDAY(AA$3,2)&gt;5</formula>
    </cfRule>
  </conditionalFormatting>
  <conditionalFormatting sqref="AG4">
    <cfRule type="expression" priority="3767">
      <formula>WEEKDAY(AE$3,2)&gt;5</formula>
    </cfRule>
  </conditionalFormatting>
  <conditionalFormatting sqref="AH4">
    <cfRule type="expression" priority="3768">
      <formula>WEEKDAY(AF$3,2)&gt;5</formula>
    </cfRule>
  </conditionalFormatting>
  <conditionalFormatting sqref="D5:E5">
    <cfRule type="expression" priority="3693">
      <formula>WEEKDAY(B$3,2)&gt;5</formula>
    </cfRule>
  </conditionalFormatting>
  <conditionalFormatting sqref="F5">
    <cfRule type="expression" priority="3679">
      <formula>WEEKDAY(D$3,2)&gt;5</formula>
    </cfRule>
  </conditionalFormatting>
  <conditionalFormatting sqref="G5">
    <cfRule type="expression" priority="3707">
      <formula>WEEKDAY(E$3,2)&gt;5</formula>
    </cfRule>
  </conditionalFormatting>
  <conditionalFormatting sqref="H5">
    <cfRule type="expression" priority="3665">
      <formula>WEEKDAY(F$3,2)&gt;5</formula>
    </cfRule>
  </conditionalFormatting>
  <conditionalFormatting sqref="I5">
    <cfRule type="expression" priority="3651">
      <formula>WEEKDAY(#REF!,2)&gt;5</formula>
    </cfRule>
  </conditionalFormatting>
  <conditionalFormatting sqref="J5">
    <cfRule type="expression" priority="3637">
      <formula>WEEKDAY(#REF!,2)&gt;5</formula>
    </cfRule>
  </conditionalFormatting>
  <conditionalFormatting sqref="K5">
    <cfRule type="expression" priority="3735">
      <formula>WEEKDAY(#REF!,2)&gt;5</formula>
    </cfRule>
  </conditionalFormatting>
  <conditionalFormatting sqref="M5">
    <cfRule type="expression" priority="3623">
      <formula>WEEKDAY(K$3,2)&gt;5</formula>
    </cfRule>
  </conditionalFormatting>
  <conditionalFormatting sqref="O5:R5">
    <cfRule type="expression" priority="3609">
      <formula>WEEKDAY(#REF!,2)&gt;5</formula>
    </cfRule>
  </conditionalFormatting>
  <conditionalFormatting sqref="S5:T5">
    <cfRule type="expression" priority="3595">
      <formula>WEEKDAY(Q$3,2)&gt;5</formula>
    </cfRule>
  </conditionalFormatting>
  <conditionalFormatting sqref="U5:Y5">
    <cfRule type="expression" priority="3581">
      <formula>WEEKDAY(#REF!,2)&gt;5</formula>
    </cfRule>
  </conditionalFormatting>
  <conditionalFormatting sqref="X5:Y5">
    <cfRule type="expression" priority="3721">
      <formula>WEEKDAY(#REF!,2)&gt;5</formula>
    </cfRule>
  </conditionalFormatting>
  <conditionalFormatting sqref="Z5:AA5">
    <cfRule type="expression" priority="3567">
      <formula>WEEKDAY(X$3,2)&gt;5</formula>
    </cfRule>
  </conditionalFormatting>
  <conditionalFormatting sqref="AB5:AF5">
    <cfRule type="expression" priority="3553">
      <formula>WEEKDAY(#REF!,2)&gt;5</formula>
    </cfRule>
  </conditionalFormatting>
  <conditionalFormatting sqref="AG5">
    <cfRule type="expression" priority="3525">
      <formula>WEEKDAY(AE$3,2)&gt;5</formula>
    </cfRule>
  </conditionalFormatting>
  <conditionalFormatting sqref="AH5">
    <cfRule type="expression" priority="3539">
      <formula>WEEKDAY(AF$3,2)&gt;5</formula>
    </cfRule>
  </conditionalFormatting>
  <conditionalFormatting sqref="AN5">
    <cfRule type="expression" priority="8322">
      <formula>WEEKDAY(#REF!,2)&gt;5</formula>
    </cfRule>
  </conditionalFormatting>
  <conditionalFormatting sqref="B6">
    <cfRule type="duplicateValues" dxfId="1" priority="15484"/>
  </conditionalFormatting>
  <conditionalFormatting sqref="D6:E6">
    <cfRule type="expression" priority="3692">
      <formula>WEEKDAY(B$3,2)&gt;5</formula>
    </cfRule>
  </conditionalFormatting>
  <conditionalFormatting sqref="F6">
    <cfRule type="expression" priority="3678">
      <formula>WEEKDAY(D$3,2)&gt;5</formula>
    </cfRule>
  </conditionalFormatting>
  <conditionalFormatting sqref="G6">
    <cfRule type="expression" priority="3706">
      <formula>WEEKDAY(E$3,2)&gt;5</formula>
    </cfRule>
  </conditionalFormatting>
  <conditionalFormatting sqref="H6">
    <cfRule type="expression" priority="3664">
      <formula>WEEKDAY(F$3,2)&gt;5</formula>
    </cfRule>
  </conditionalFormatting>
  <conditionalFormatting sqref="I6">
    <cfRule type="expression" priority="3650">
      <formula>WEEKDAY(#REF!,2)&gt;5</formula>
    </cfRule>
  </conditionalFormatting>
  <conditionalFormatting sqref="J6">
    <cfRule type="expression" priority="3636">
      <formula>WEEKDAY(#REF!,2)&gt;5</formula>
    </cfRule>
  </conditionalFormatting>
  <conditionalFormatting sqref="K6">
    <cfRule type="expression" priority="3734">
      <formula>WEEKDAY(#REF!,2)&gt;5</formula>
    </cfRule>
  </conditionalFormatting>
  <conditionalFormatting sqref="M6">
    <cfRule type="expression" priority="3622">
      <formula>WEEKDAY(K$3,2)&gt;5</formula>
    </cfRule>
  </conditionalFormatting>
  <conditionalFormatting sqref="O6:R6">
    <cfRule type="expression" priority="3608">
      <formula>WEEKDAY(#REF!,2)&gt;5</formula>
    </cfRule>
  </conditionalFormatting>
  <conditionalFormatting sqref="S6:T6">
    <cfRule type="expression" priority="3594">
      <formula>WEEKDAY(Q$3,2)&gt;5</formula>
    </cfRule>
  </conditionalFormatting>
  <conditionalFormatting sqref="U6:Y6">
    <cfRule type="expression" priority="3580">
      <formula>WEEKDAY(#REF!,2)&gt;5</formula>
    </cfRule>
  </conditionalFormatting>
  <conditionalFormatting sqref="X6:Y6">
    <cfRule type="expression" priority="3720">
      <formula>WEEKDAY(#REF!,2)&gt;5</formula>
    </cfRule>
  </conditionalFormatting>
  <conditionalFormatting sqref="Z6:AA6">
    <cfRule type="expression" priority="3566">
      <formula>WEEKDAY(X$3,2)&gt;5</formula>
    </cfRule>
  </conditionalFormatting>
  <conditionalFormatting sqref="AB6:AF6">
    <cfRule type="expression" priority="3552">
      <formula>WEEKDAY(#REF!,2)&gt;5</formula>
    </cfRule>
  </conditionalFormatting>
  <conditionalFormatting sqref="AG6">
    <cfRule type="expression" priority="3524">
      <formula>WEEKDAY(AE$3,2)&gt;5</formula>
    </cfRule>
  </conditionalFormatting>
  <conditionalFormatting sqref="AH6">
    <cfRule type="expression" priority="3538">
      <formula>WEEKDAY(AF$3,2)&gt;5</formula>
    </cfRule>
  </conditionalFormatting>
  <conditionalFormatting sqref="D7:E7">
    <cfRule type="expression" priority="3691">
      <formula>WEEKDAY(B$3,2)&gt;5</formula>
    </cfRule>
  </conditionalFormatting>
  <conditionalFormatting sqref="F7">
    <cfRule type="expression" priority="3677">
      <formula>WEEKDAY(D$3,2)&gt;5</formula>
    </cfRule>
  </conditionalFormatting>
  <conditionalFormatting sqref="G7">
    <cfRule type="expression" priority="3705">
      <formula>WEEKDAY(E$3,2)&gt;5</formula>
    </cfRule>
  </conditionalFormatting>
  <conditionalFormatting sqref="H7">
    <cfRule type="expression" priority="3663">
      <formula>WEEKDAY(F$3,2)&gt;5</formula>
    </cfRule>
  </conditionalFormatting>
  <conditionalFormatting sqref="I7">
    <cfRule type="expression" priority="3649">
      <formula>WEEKDAY(#REF!,2)&gt;5</formula>
    </cfRule>
  </conditionalFormatting>
  <conditionalFormatting sqref="J7">
    <cfRule type="expression" priority="3635">
      <formula>WEEKDAY(#REF!,2)&gt;5</formula>
    </cfRule>
  </conditionalFormatting>
  <conditionalFormatting sqref="K7">
    <cfRule type="expression" priority="3733">
      <formula>WEEKDAY(#REF!,2)&gt;5</formula>
    </cfRule>
  </conditionalFormatting>
  <conditionalFormatting sqref="M7">
    <cfRule type="expression" priority="3621">
      <formula>WEEKDAY(K$3,2)&gt;5</formula>
    </cfRule>
  </conditionalFormatting>
  <conditionalFormatting sqref="O7:R7">
    <cfRule type="expression" priority="3607">
      <formula>WEEKDAY(#REF!,2)&gt;5</formula>
    </cfRule>
  </conditionalFormatting>
  <conditionalFormatting sqref="S7:T7">
    <cfRule type="expression" priority="3593">
      <formula>WEEKDAY(Q$3,2)&gt;5</formula>
    </cfRule>
  </conditionalFormatting>
  <conditionalFormatting sqref="U7:Y7">
    <cfRule type="expression" priority="3579">
      <formula>WEEKDAY(#REF!,2)&gt;5</formula>
    </cfRule>
  </conditionalFormatting>
  <conditionalFormatting sqref="X7:Y7">
    <cfRule type="expression" priority="3719">
      <formula>WEEKDAY(#REF!,2)&gt;5</formula>
    </cfRule>
  </conditionalFormatting>
  <conditionalFormatting sqref="Z7:AA7">
    <cfRule type="expression" priority="3565">
      <formula>WEEKDAY(X$3,2)&gt;5</formula>
    </cfRule>
  </conditionalFormatting>
  <conditionalFormatting sqref="AB7:AC7">
    <cfRule type="expression" priority="30">
      <formula>WEEKDAY(#REF!,2)&gt;5</formula>
    </cfRule>
  </conditionalFormatting>
  <conditionalFormatting sqref="AD7">
    <cfRule type="expression" priority="29">
      <formula>WEEKDAY(#REF!,2)&gt;5</formula>
    </cfRule>
  </conditionalFormatting>
  <conditionalFormatting sqref="AE7:AF7">
    <cfRule type="expression" priority="3551">
      <formula>WEEKDAY(#REF!,2)&gt;5</formula>
    </cfRule>
  </conditionalFormatting>
  <conditionalFormatting sqref="AG7">
    <cfRule type="expression" priority="3523">
      <formula>WEEKDAY(AE$3,2)&gt;5</formula>
    </cfRule>
  </conditionalFormatting>
  <conditionalFormatting sqref="AH7">
    <cfRule type="expression" priority="3537">
      <formula>WEEKDAY(AF$3,2)&gt;5</formula>
    </cfRule>
  </conditionalFormatting>
  <conditionalFormatting sqref="AN7">
    <cfRule type="expression" priority="8321">
      <formula>WEEKDAY(#REF!,2)&gt;5</formula>
    </cfRule>
  </conditionalFormatting>
  <conditionalFormatting sqref="D8:E8">
    <cfRule type="expression" priority="3690">
      <formula>WEEKDAY(B$3,2)&gt;5</formula>
    </cfRule>
  </conditionalFormatting>
  <conditionalFormatting sqref="F8">
    <cfRule type="expression" priority="3676">
      <formula>WEEKDAY(D$3,2)&gt;5</formula>
    </cfRule>
  </conditionalFormatting>
  <conditionalFormatting sqref="G8">
    <cfRule type="expression" priority="3704">
      <formula>WEEKDAY(E$3,2)&gt;5</formula>
    </cfRule>
  </conditionalFormatting>
  <conditionalFormatting sqref="H8">
    <cfRule type="expression" priority="3662">
      <formula>WEEKDAY(F$3,2)&gt;5</formula>
    </cfRule>
  </conditionalFormatting>
  <conditionalFormatting sqref="I8">
    <cfRule type="expression" priority="3648">
      <formula>WEEKDAY(#REF!,2)&gt;5</formula>
    </cfRule>
  </conditionalFormatting>
  <conditionalFormatting sqref="J8">
    <cfRule type="expression" priority="3634">
      <formula>WEEKDAY(#REF!,2)&gt;5</formula>
    </cfRule>
  </conditionalFormatting>
  <conditionalFormatting sqref="K8">
    <cfRule type="expression" priority="3732">
      <formula>WEEKDAY(#REF!,2)&gt;5</formula>
    </cfRule>
  </conditionalFormatting>
  <conditionalFormatting sqref="M8">
    <cfRule type="expression" priority="3620">
      <formula>WEEKDAY(K$3,2)&gt;5</formula>
    </cfRule>
  </conditionalFormatting>
  <conditionalFormatting sqref="O8:R8">
    <cfRule type="expression" priority="3606">
      <formula>WEEKDAY(#REF!,2)&gt;5</formula>
    </cfRule>
  </conditionalFormatting>
  <conditionalFormatting sqref="S8:T8">
    <cfRule type="expression" priority="3592">
      <formula>WEEKDAY(Q$3,2)&gt;5</formula>
    </cfRule>
  </conditionalFormatting>
  <conditionalFormatting sqref="U8:Y8">
    <cfRule type="expression" priority="3578">
      <formula>WEEKDAY(#REF!,2)&gt;5</formula>
    </cfRule>
  </conditionalFormatting>
  <conditionalFormatting sqref="X8:Y8">
    <cfRule type="expression" priority="3718">
      <formula>WEEKDAY(#REF!,2)&gt;5</formula>
    </cfRule>
  </conditionalFormatting>
  <conditionalFormatting sqref="Z8:AA8">
    <cfRule type="expression" priority="3564">
      <formula>WEEKDAY(X$3,2)&gt;5</formula>
    </cfRule>
  </conditionalFormatting>
  <conditionalFormatting sqref="AB8:AF8">
    <cfRule type="expression" priority="3550">
      <formula>WEEKDAY(#REF!,2)&gt;5</formula>
    </cfRule>
  </conditionalFormatting>
  <conditionalFormatting sqref="AG8">
    <cfRule type="expression" priority="3522">
      <formula>WEEKDAY(AE$3,2)&gt;5</formula>
    </cfRule>
  </conditionalFormatting>
  <conditionalFormatting sqref="AH8">
    <cfRule type="expression" priority="3536">
      <formula>WEEKDAY(AF$3,2)&gt;5</formula>
    </cfRule>
  </conditionalFormatting>
  <conditionalFormatting sqref="D9:E9">
    <cfRule type="expression" priority="3689">
      <formula>WEEKDAY(B$3,2)&gt;5</formula>
    </cfRule>
  </conditionalFormatting>
  <conditionalFormatting sqref="F9">
    <cfRule type="expression" priority="3675">
      <formula>WEEKDAY(D$3,2)&gt;5</formula>
    </cfRule>
  </conditionalFormatting>
  <conditionalFormatting sqref="G9">
    <cfRule type="expression" priority="3703">
      <formula>WEEKDAY(E$3,2)&gt;5</formula>
    </cfRule>
  </conditionalFormatting>
  <conditionalFormatting sqref="H9">
    <cfRule type="expression" priority="3661">
      <formula>WEEKDAY(F$3,2)&gt;5</formula>
    </cfRule>
  </conditionalFormatting>
  <conditionalFormatting sqref="I9">
    <cfRule type="expression" priority="3647">
      <formula>WEEKDAY(#REF!,2)&gt;5</formula>
    </cfRule>
  </conditionalFormatting>
  <conditionalFormatting sqref="J9">
    <cfRule type="expression" priority="3633">
      <formula>WEEKDAY(#REF!,2)&gt;5</formula>
    </cfRule>
  </conditionalFormatting>
  <conditionalFormatting sqref="K9">
    <cfRule type="expression" priority="3731">
      <formula>WEEKDAY(#REF!,2)&gt;5</formula>
    </cfRule>
  </conditionalFormatting>
  <conditionalFormatting sqref="M9">
    <cfRule type="expression" priority="3619">
      <formula>WEEKDAY(K$3,2)&gt;5</formula>
    </cfRule>
  </conditionalFormatting>
  <conditionalFormatting sqref="O9:R9">
    <cfRule type="expression" priority="3605">
      <formula>WEEKDAY(#REF!,2)&gt;5</formula>
    </cfRule>
  </conditionalFormatting>
  <conditionalFormatting sqref="S9:T9">
    <cfRule type="expression" priority="3591">
      <formula>WEEKDAY(Q$3,2)&gt;5</formula>
    </cfRule>
  </conditionalFormatting>
  <conditionalFormatting sqref="U9:Y9">
    <cfRule type="expression" priority="3577">
      <formula>WEEKDAY(#REF!,2)&gt;5</formula>
    </cfRule>
  </conditionalFormatting>
  <conditionalFormatting sqref="X9:Y9">
    <cfRule type="expression" priority="3717">
      <formula>WEEKDAY(#REF!,2)&gt;5</formula>
    </cfRule>
  </conditionalFormatting>
  <conditionalFormatting sqref="Z9:AA9">
    <cfRule type="expression" priority="3563">
      <formula>WEEKDAY(X$3,2)&gt;5</formula>
    </cfRule>
  </conditionalFormatting>
  <conditionalFormatting sqref="AB9:AF9">
    <cfRule type="expression" priority="3549">
      <formula>WEEKDAY(#REF!,2)&gt;5</formula>
    </cfRule>
  </conditionalFormatting>
  <conditionalFormatting sqref="AG9">
    <cfRule type="expression" priority="3521">
      <formula>WEEKDAY(AE$3,2)&gt;5</formula>
    </cfRule>
  </conditionalFormatting>
  <conditionalFormatting sqref="AH9">
    <cfRule type="expression" priority="3535">
      <formula>WEEKDAY(AF$3,2)&gt;5</formula>
    </cfRule>
  </conditionalFormatting>
  <conditionalFormatting sqref="D10">
    <cfRule type="expression" priority="3688">
      <formula>WEEKDAY(B$3,2)&gt;5</formula>
    </cfRule>
  </conditionalFormatting>
  <conditionalFormatting sqref="E10:G10">
    <cfRule type="expression" priority="54">
      <formula>WEEKDAY(C$3,2)&gt;5</formula>
    </cfRule>
  </conditionalFormatting>
  <conditionalFormatting sqref="H10">
    <cfRule type="expression" priority="53">
      <formula>WEEKDAY(F$3,2)&gt;5</formula>
    </cfRule>
  </conditionalFormatting>
  <conditionalFormatting sqref="I10:M10">
    <cfRule type="expression" priority="52">
      <formula>WEEKDAY(G$3,2)&gt;5</formula>
    </cfRule>
  </conditionalFormatting>
  <conditionalFormatting sqref="N10">
    <cfRule type="expression" priority="3744">
      <formula>WEEKDAY(#REF!,2)&gt;5</formula>
    </cfRule>
  </conditionalFormatting>
  <conditionalFormatting sqref="O10:R10">
    <cfRule type="expression" priority="3604">
      <formula>WEEKDAY(#REF!,2)&gt;5</formula>
    </cfRule>
  </conditionalFormatting>
  <conditionalFormatting sqref="S10:T10">
    <cfRule type="expression" priority="3590">
      <formula>WEEKDAY(Q$3,2)&gt;5</formula>
    </cfRule>
  </conditionalFormatting>
  <conditionalFormatting sqref="U10:Y10">
    <cfRule type="expression" priority="3576">
      <formula>WEEKDAY(#REF!,2)&gt;5</formula>
    </cfRule>
  </conditionalFormatting>
  <conditionalFormatting sqref="X10:Y10">
    <cfRule type="expression" priority="3716">
      <formula>WEEKDAY(#REF!,2)&gt;5</formula>
    </cfRule>
  </conditionalFormatting>
  <conditionalFormatting sqref="Z10:AA10">
    <cfRule type="expression" priority="3562">
      <formula>WEEKDAY(X$3,2)&gt;5</formula>
    </cfRule>
  </conditionalFormatting>
  <conditionalFormatting sqref="AB10:AF10">
    <cfRule type="expression" priority="3548">
      <formula>WEEKDAY(#REF!,2)&gt;5</formula>
    </cfRule>
  </conditionalFormatting>
  <conditionalFormatting sqref="AG10">
    <cfRule type="expression" priority="3520">
      <formula>WEEKDAY(AE$3,2)&gt;5</formula>
    </cfRule>
  </conditionalFormatting>
  <conditionalFormatting sqref="AH10">
    <cfRule type="expression" priority="3534">
      <formula>WEEKDAY(AF$3,2)&gt;5</formula>
    </cfRule>
  </conditionalFormatting>
  <conditionalFormatting sqref="D11:E11">
    <cfRule type="expression" priority="3687">
      <formula>WEEKDAY(B$3,2)&gt;5</formula>
    </cfRule>
  </conditionalFormatting>
  <conditionalFormatting sqref="F11">
    <cfRule type="expression" priority="3673">
      <formula>WEEKDAY(D$3,2)&gt;5</formula>
    </cfRule>
  </conditionalFormatting>
  <conditionalFormatting sqref="G11">
    <cfRule type="expression" priority="3701">
      <formula>WEEKDAY(E$3,2)&gt;5</formula>
    </cfRule>
  </conditionalFormatting>
  <conditionalFormatting sqref="H11">
    <cfRule type="expression" priority="3659">
      <formula>WEEKDAY(F$3,2)&gt;5</formula>
    </cfRule>
  </conditionalFormatting>
  <conditionalFormatting sqref="I11">
    <cfRule type="expression" priority="3645">
      <formula>WEEKDAY(#REF!,2)&gt;5</formula>
    </cfRule>
  </conditionalFormatting>
  <conditionalFormatting sqref="J11">
    <cfRule type="expression" priority="3631">
      <formula>WEEKDAY(#REF!,2)&gt;5</formula>
    </cfRule>
  </conditionalFormatting>
  <conditionalFormatting sqref="K11">
    <cfRule type="expression" priority="3729">
      <formula>WEEKDAY(#REF!,2)&gt;5</formula>
    </cfRule>
  </conditionalFormatting>
  <conditionalFormatting sqref="M11">
    <cfRule type="expression" priority="3617">
      <formula>WEEKDAY(K$3,2)&gt;5</formula>
    </cfRule>
  </conditionalFormatting>
  <conditionalFormatting sqref="O11:R11">
    <cfRule type="expression" priority="3603">
      <formula>WEEKDAY(#REF!,2)&gt;5</formula>
    </cfRule>
  </conditionalFormatting>
  <conditionalFormatting sqref="S11:T11">
    <cfRule type="expression" priority="3589">
      <formula>WEEKDAY(Q$3,2)&gt;5</formula>
    </cfRule>
  </conditionalFormatting>
  <conditionalFormatting sqref="U11:Y11">
    <cfRule type="expression" priority="3575">
      <formula>WEEKDAY(#REF!,2)&gt;5</formula>
    </cfRule>
  </conditionalFormatting>
  <conditionalFormatting sqref="X11:Y11">
    <cfRule type="expression" priority="3715">
      <formula>WEEKDAY(#REF!,2)&gt;5</formula>
    </cfRule>
  </conditionalFormatting>
  <conditionalFormatting sqref="Z11:AA11">
    <cfRule type="expression" priority="3561">
      <formula>WEEKDAY(X$3,2)&gt;5</formula>
    </cfRule>
  </conditionalFormatting>
  <conditionalFormatting sqref="AB11:AF11">
    <cfRule type="expression" priority="3547">
      <formula>WEEKDAY(#REF!,2)&gt;5</formula>
    </cfRule>
  </conditionalFormatting>
  <conditionalFormatting sqref="AG11">
    <cfRule type="expression" priority="3519">
      <formula>WEEKDAY(AE$3,2)&gt;5</formula>
    </cfRule>
  </conditionalFormatting>
  <conditionalFormatting sqref="AH11">
    <cfRule type="expression" priority="3533">
      <formula>WEEKDAY(AF$3,2)&gt;5</formula>
    </cfRule>
  </conditionalFormatting>
  <conditionalFormatting sqref="D12:E12">
    <cfRule type="expression" priority="3686">
      <formula>WEEKDAY(B$3,2)&gt;5</formula>
    </cfRule>
  </conditionalFormatting>
  <conditionalFormatting sqref="F12">
    <cfRule type="expression" priority="3672">
      <formula>WEEKDAY(D$3,2)&gt;5</formula>
    </cfRule>
  </conditionalFormatting>
  <conditionalFormatting sqref="G12">
    <cfRule type="expression" priority="3700">
      <formula>WEEKDAY(E$3,2)&gt;5</formula>
    </cfRule>
  </conditionalFormatting>
  <conditionalFormatting sqref="H12">
    <cfRule type="expression" priority="3658">
      <formula>WEEKDAY(F$3,2)&gt;5</formula>
    </cfRule>
  </conditionalFormatting>
  <conditionalFormatting sqref="I12">
    <cfRule type="expression" priority="60">
      <formula>WEEKDAY(#REF!,2)&gt;5</formula>
    </cfRule>
  </conditionalFormatting>
  <conditionalFormatting sqref="J12">
    <cfRule type="expression" priority="59">
      <formula>WEEKDAY(#REF!,2)&gt;5</formula>
    </cfRule>
  </conditionalFormatting>
  <conditionalFormatting sqref="K12">
    <cfRule type="expression" priority="55">
      <formula>WEEKDAY(#REF!,2)&gt;5</formula>
    </cfRule>
  </conditionalFormatting>
  <conditionalFormatting sqref="M12">
    <cfRule type="expression" priority="3616">
      <formula>WEEKDAY(K$3,2)&gt;5</formula>
    </cfRule>
  </conditionalFormatting>
  <conditionalFormatting sqref="O12:R12">
    <cfRule type="expression" priority="3602">
      <formula>WEEKDAY(#REF!,2)&gt;5</formula>
    </cfRule>
  </conditionalFormatting>
  <conditionalFormatting sqref="S12:T12">
    <cfRule type="expression" priority="3588">
      <formula>WEEKDAY(Q$3,2)&gt;5</formula>
    </cfRule>
  </conditionalFormatting>
  <conditionalFormatting sqref="X12">
    <cfRule type="expression" priority="57">
      <formula>WEEKDAY(#REF!,2)&gt;5</formula>
    </cfRule>
  </conditionalFormatting>
  <conditionalFormatting sqref="Y12">
    <cfRule type="expression" priority="3714">
      <formula>WEEKDAY(#REF!,2)&gt;5</formula>
    </cfRule>
  </conditionalFormatting>
  <conditionalFormatting sqref="Z12:AA12">
    <cfRule type="expression" priority="3560">
      <formula>WEEKDAY(X$3,2)&gt;5</formula>
    </cfRule>
  </conditionalFormatting>
  <conditionalFormatting sqref="AC12">
    <cfRule type="expression" priority="56">
      <formula>WEEKDAY(#REF!,2)&gt;5</formula>
    </cfRule>
  </conditionalFormatting>
  <conditionalFormatting sqref="AG12">
    <cfRule type="expression" priority="3518">
      <formula>WEEKDAY(AE$3,2)&gt;5</formula>
    </cfRule>
  </conditionalFormatting>
  <conditionalFormatting sqref="AH12">
    <cfRule type="expression" priority="3532">
      <formula>WEEKDAY(AF$3,2)&gt;5</formula>
    </cfRule>
  </conditionalFormatting>
  <conditionalFormatting sqref="D13:E13">
    <cfRule type="expression" priority="3685">
      <formula>WEEKDAY(B$3,2)&gt;5</formula>
    </cfRule>
  </conditionalFormatting>
  <conditionalFormatting sqref="F13">
    <cfRule type="expression" priority="3671">
      <formula>WEEKDAY(D$3,2)&gt;5</formula>
    </cfRule>
  </conditionalFormatting>
  <conditionalFormatting sqref="G13">
    <cfRule type="expression" priority="3699">
      <formula>WEEKDAY(E$3,2)&gt;5</formula>
    </cfRule>
  </conditionalFormatting>
  <conditionalFormatting sqref="H13">
    <cfRule type="expression" priority="3657">
      <formula>WEEKDAY(F$3,2)&gt;5</formula>
    </cfRule>
  </conditionalFormatting>
  <conditionalFormatting sqref="I13">
    <cfRule type="expression" priority="3643">
      <formula>WEEKDAY(#REF!,2)&gt;5</formula>
    </cfRule>
  </conditionalFormatting>
  <conditionalFormatting sqref="J13">
    <cfRule type="expression" priority="3629">
      <formula>WEEKDAY(#REF!,2)&gt;5</formula>
    </cfRule>
  </conditionalFormatting>
  <conditionalFormatting sqref="K13">
    <cfRule type="expression" priority="3727">
      <formula>WEEKDAY(#REF!,2)&gt;5</formula>
    </cfRule>
  </conditionalFormatting>
  <conditionalFormatting sqref="M13">
    <cfRule type="expression" priority="3615">
      <formula>WEEKDAY(K$3,2)&gt;5</formula>
    </cfRule>
  </conditionalFormatting>
  <conditionalFormatting sqref="O13:R13">
    <cfRule type="expression" priority="3601">
      <formula>WEEKDAY(#REF!,2)&gt;5</formula>
    </cfRule>
  </conditionalFormatting>
  <conditionalFormatting sqref="S13:T13">
    <cfRule type="expression" priority="3587">
      <formula>WEEKDAY(Q$3,2)&gt;5</formula>
    </cfRule>
  </conditionalFormatting>
  <conditionalFormatting sqref="U13:Y13">
    <cfRule type="expression" priority="3573">
      <formula>WEEKDAY(#REF!,2)&gt;5</formula>
    </cfRule>
  </conditionalFormatting>
  <conditionalFormatting sqref="X13:Y13">
    <cfRule type="expression" priority="3713">
      <formula>WEEKDAY(#REF!,2)&gt;5</formula>
    </cfRule>
  </conditionalFormatting>
  <conditionalFormatting sqref="Z13:AA13">
    <cfRule type="expression" priority="3559">
      <formula>WEEKDAY(X$3,2)&gt;5</formula>
    </cfRule>
  </conditionalFormatting>
  <conditionalFormatting sqref="AB13:AF13">
    <cfRule type="expression" priority="3545">
      <formula>WEEKDAY(#REF!,2)&gt;5</formula>
    </cfRule>
  </conditionalFormatting>
  <conditionalFormatting sqref="AG13">
    <cfRule type="expression" priority="3517">
      <formula>WEEKDAY(AE$3,2)&gt;5</formula>
    </cfRule>
  </conditionalFormatting>
  <conditionalFormatting sqref="AH13">
    <cfRule type="expression" priority="3531">
      <formula>WEEKDAY(AF$3,2)&gt;5</formula>
    </cfRule>
  </conditionalFormatting>
  <conditionalFormatting sqref="D14:E14">
    <cfRule type="expression" priority="3684">
      <formula>WEEKDAY(B$3,2)&gt;5</formula>
    </cfRule>
  </conditionalFormatting>
  <conditionalFormatting sqref="F14">
    <cfRule type="expression" priority="3670">
      <formula>WEEKDAY(D$3,2)&gt;5</formula>
    </cfRule>
  </conditionalFormatting>
  <conditionalFormatting sqref="G14">
    <cfRule type="expression" priority="3698">
      <formula>WEEKDAY(E$3,2)&gt;5</formula>
    </cfRule>
  </conditionalFormatting>
  <conditionalFormatting sqref="H14">
    <cfRule type="expression" priority="3656">
      <formula>WEEKDAY(F$3,2)&gt;5</formula>
    </cfRule>
  </conditionalFormatting>
  <conditionalFormatting sqref="I14">
    <cfRule type="expression" priority="3642">
      <formula>WEEKDAY(#REF!,2)&gt;5</formula>
    </cfRule>
  </conditionalFormatting>
  <conditionalFormatting sqref="J14">
    <cfRule type="expression" priority="3628">
      <formula>WEEKDAY(#REF!,2)&gt;5</formula>
    </cfRule>
  </conditionalFormatting>
  <conditionalFormatting sqref="K14">
    <cfRule type="expression" priority="3726">
      <formula>WEEKDAY(#REF!,2)&gt;5</formula>
    </cfRule>
  </conditionalFormatting>
  <conditionalFormatting sqref="M14">
    <cfRule type="expression" priority="3614">
      <formula>WEEKDAY(K$3,2)&gt;5</formula>
    </cfRule>
  </conditionalFormatting>
  <conditionalFormatting sqref="O14:R14">
    <cfRule type="expression" priority="3600">
      <formula>WEEKDAY(#REF!,2)&gt;5</formula>
    </cfRule>
  </conditionalFormatting>
  <conditionalFormatting sqref="S14:T14">
    <cfRule type="expression" priority="3586">
      <formula>WEEKDAY(Q$3,2)&gt;5</formula>
    </cfRule>
  </conditionalFormatting>
  <conditionalFormatting sqref="U14:Y14">
    <cfRule type="expression" priority="3572">
      <formula>WEEKDAY(#REF!,2)&gt;5</formula>
    </cfRule>
  </conditionalFormatting>
  <conditionalFormatting sqref="X14:Y14">
    <cfRule type="expression" priority="3712">
      <formula>WEEKDAY(#REF!,2)&gt;5</formula>
    </cfRule>
  </conditionalFormatting>
  <conditionalFormatting sqref="Z14:AA14">
    <cfRule type="expression" priority="3558">
      <formula>WEEKDAY(X$3,2)&gt;5</formula>
    </cfRule>
  </conditionalFormatting>
  <conditionalFormatting sqref="AB14:AF14">
    <cfRule type="expression" priority="3544">
      <formula>WEEKDAY(#REF!,2)&gt;5</formula>
    </cfRule>
  </conditionalFormatting>
  <conditionalFormatting sqref="AG14">
    <cfRule type="expression" priority="3516">
      <formula>WEEKDAY(AE$3,2)&gt;5</formula>
    </cfRule>
  </conditionalFormatting>
  <conditionalFormatting sqref="AH14">
    <cfRule type="expression" priority="3530">
      <formula>WEEKDAY(AF$3,2)&gt;5</formula>
    </cfRule>
  </conditionalFormatting>
  <conditionalFormatting sqref="D15:E15">
    <cfRule type="expression" priority="3683">
      <formula>WEEKDAY(B$3,2)&gt;5</formula>
    </cfRule>
  </conditionalFormatting>
  <conditionalFormatting sqref="F15">
    <cfRule type="expression" priority="3669">
      <formula>WEEKDAY(D$3,2)&gt;5</formula>
    </cfRule>
  </conditionalFormatting>
  <conditionalFormatting sqref="G15">
    <cfRule type="expression" priority="3697">
      <formula>WEEKDAY(E$3,2)&gt;5</formula>
    </cfRule>
  </conditionalFormatting>
  <conditionalFormatting sqref="H15">
    <cfRule type="expression" priority="3655">
      <formula>WEEKDAY(F$3,2)&gt;5</formula>
    </cfRule>
  </conditionalFormatting>
  <conditionalFormatting sqref="I15">
    <cfRule type="expression" priority="3641">
      <formula>WEEKDAY(#REF!,2)&gt;5</formula>
    </cfRule>
  </conditionalFormatting>
  <conditionalFormatting sqref="J15">
    <cfRule type="expression" priority="3627">
      <formula>WEEKDAY(#REF!,2)&gt;5</formula>
    </cfRule>
  </conditionalFormatting>
  <conditionalFormatting sqref="K15">
    <cfRule type="expression" priority="3725">
      <formula>WEEKDAY(#REF!,2)&gt;5</formula>
    </cfRule>
  </conditionalFormatting>
  <conditionalFormatting sqref="M15">
    <cfRule type="expression" priority="3613">
      <formula>WEEKDAY(K$3,2)&gt;5</formula>
    </cfRule>
  </conditionalFormatting>
  <conditionalFormatting sqref="O15:R15">
    <cfRule type="expression" priority="3599">
      <formula>WEEKDAY(#REF!,2)&gt;5</formula>
    </cfRule>
  </conditionalFormatting>
  <conditionalFormatting sqref="S15:T15">
    <cfRule type="expression" priority="3585">
      <formula>WEEKDAY(Q$3,2)&gt;5</formula>
    </cfRule>
  </conditionalFormatting>
  <conditionalFormatting sqref="U15:Y15">
    <cfRule type="expression" priority="3571">
      <formula>WEEKDAY(#REF!,2)&gt;5</formula>
    </cfRule>
  </conditionalFormatting>
  <conditionalFormatting sqref="X15:Y15">
    <cfRule type="expression" priority="3711">
      <formula>WEEKDAY(#REF!,2)&gt;5</formula>
    </cfRule>
  </conditionalFormatting>
  <conditionalFormatting sqref="Z15:AA15">
    <cfRule type="expression" priority="3557">
      <formula>WEEKDAY(X$3,2)&gt;5</formula>
    </cfRule>
  </conditionalFormatting>
  <conditionalFormatting sqref="AB15:AF15">
    <cfRule type="expression" priority="3543">
      <formula>WEEKDAY(#REF!,2)&gt;5</formula>
    </cfRule>
  </conditionalFormatting>
  <conditionalFormatting sqref="AG15">
    <cfRule type="expression" priority="3515">
      <formula>WEEKDAY(AE$3,2)&gt;5</formula>
    </cfRule>
  </conditionalFormatting>
  <conditionalFormatting sqref="AH15">
    <cfRule type="expression" priority="3529">
      <formula>WEEKDAY(AF$3,2)&gt;5</formula>
    </cfRule>
  </conditionalFormatting>
  <conditionalFormatting sqref="D16:E16">
    <cfRule type="expression" priority="3682">
      <formula>WEEKDAY(B$3,2)&gt;5</formula>
    </cfRule>
  </conditionalFormatting>
  <conditionalFormatting sqref="F16">
    <cfRule type="expression" priority="3668">
      <formula>WEEKDAY(D$3,2)&gt;5</formula>
    </cfRule>
  </conditionalFormatting>
  <conditionalFormatting sqref="G16">
    <cfRule type="expression" priority="3696">
      <formula>WEEKDAY(E$3,2)&gt;5</formula>
    </cfRule>
  </conditionalFormatting>
  <conditionalFormatting sqref="H16">
    <cfRule type="expression" priority="3654">
      <formula>WEEKDAY(F$3,2)&gt;5</formula>
    </cfRule>
  </conditionalFormatting>
  <conditionalFormatting sqref="I16">
    <cfRule type="expression" priority="3640">
      <formula>WEEKDAY(#REF!,2)&gt;5</formula>
    </cfRule>
  </conditionalFormatting>
  <conditionalFormatting sqref="J16">
    <cfRule type="expression" priority="3626">
      <formula>WEEKDAY(#REF!,2)&gt;5</formula>
    </cfRule>
  </conditionalFormatting>
  <conditionalFormatting sqref="K16">
    <cfRule type="expression" priority="3724">
      <formula>WEEKDAY(#REF!,2)&gt;5</formula>
    </cfRule>
  </conditionalFormatting>
  <conditionalFormatting sqref="M16">
    <cfRule type="expression" priority="3612">
      <formula>WEEKDAY(K$3,2)&gt;5</formula>
    </cfRule>
  </conditionalFormatting>
  <conditionalFormatting sqref="O16:R16">
    <cfRule type="expression" priority="3598">
      <formula>WEEKDAY(#REF!,2)&gt;5</formula>
    </cfRule>
  </conditionalFormatting>
  <conditionalFormatting sqref="S16:T16">
    <cfRule type="expression" priority="3584">
      <formula>WEEKDAY(Q$3,2)&gt;5</formula>
    </cfRule>
  </conditionalFormatting>
  <conditionalFormatting sqref="U16:Y16">
    <cfRule type="expression" priority="3570">
      <formula>WEEKDAY(#REF!,2)&gt;5</formula>
    </cfRule>
  </conditionalFormatting>
  <conditionalFormatting sqref="X16:Y16">
    <cfRule type="expression" priority="3710">
      <formula>WEEKDAY(#REF!,2)&gt;5</formula>
    </cfRule>
  </conditionalFormatting>
  <conditionalFormatting sqref="Z16:AA16">
    <cfRule type="expression" priority="3556">
      <formula>WEEKDAY(X$3,2)&gt;5</formula>
    </cfRule>
  </conditionalFormatting>
  <conditionalFormatting sqref="AB16:AF16">
    <cfRule type="expression" priority="3542">
      <formula>WEEKDAY(#REF!,2)&gt;5</formula>
    </cfRule>
  </conditionalFormatting>
  <conditionalFormatting sqref="AG16">
    <cfRule type="expression" priority="3514">
      <formula>WEEKDAY(AE$3,2)&gt;5</formula>
    </cfRule>
  </conditionalFormatting>
  <conditionalFormatting sqref="AH16">
    <cfRule type="expression" priority="3528">
      <formula>WEEKDAY(AF$3,2)&gt;5</formula>
    </cfRule>
  </conditionalFormatting>
  <conditionalFormatting sqref="D17:E17">
    <cfRule type="expression" priority="3681">
      <formula>WEEKDAY(B$3,2)&gt;5</formula>
    </cfRule>
  </conditionalFormatting>
  <conditionalFormatting sqref="F17">
    <cfRule type="expression" priority="3667">
      <formula>WEEKDAY(D$3,2)&gt;5</formula>
    </cfRule>
  </conditionalFormatting>
  <conditionalFormatting sqref="G17">
    <cfRule type="expression" priority="3695">
      <formula>WEEKDAY(E$3,2)&gt;5</formula>
    </cfRule>
  </conditionalFormatting>
  <conditionalFormatting sqref="H17">
    <cfRule type="expression" priority="3653">
      <formula>WEEKDAY(F$3,2)&gt;5</formula>
    </cfRule>
  </conditionalFormatting>
  <conditionalFormatting sqref="I17">
    <cfRule type="expression" priority="3639">
      <formula>WEEKDAY(#REF!,2)&gt;5</formula>
    </cfRule>
  </conditionalFormatting>
  <conditionalFormatting sqref="J17">
    <cfRule type="expression" priority="3625">
      <formula>WEEKDAY(#REF!,2)&gt;5</formula>
    </cfRule>
  </conditionalFormatting>
  <conditionalFormatting sqref="K17">
    <cfRule type="expression" priority="3723">
      <formula>WEEKDAY(#REF!,2)&gt;5</formula>
    </cfRule>
  </conditionalFormatting>
  <conditionalFormatting sqref="M17">
    <cfRule type="expression" priority="3611">
      <formula>WEEKDAY(K$3,2)&gt;5</formula>
    </cfRule>
  </conditionalFormatting>
  <conditionalFormatting sqref="O17:R17">
    <cfRule type="expression" priority="3597">
      <formula>WEEKDAY(#REF!,2)&gt;5</formula>
    </cfRule>
  </conditionalFormatting>
  <conditionalFormatting sqref="S17:T17">
    <cfRule type="expression" priority="3583">
      <formula>WEEKDAY(Q$3,2)&gt;5</formula>
    </cfRule>
  </conditionalFormatting>
  <conditionalFormatting sqref="U17:Y17">
    <cfRule type="expression" priority="3569">
      <formula>WEEKDAY(#REF!,2)&gt;5</formula>
    </cfRule>
  </conditionalFormatting>
  <conditionalFormatting sqref="X17:Y17">
    <cfRule type="expression" priority="3709">
      <formula>WEEKDAY(#REF!,2)&gt;5</formula>
    </cfRule>
  </conditionalFormatting>
  <conditionalFormatting sqref="Z17:AA17">
    <cfRule type="expression" priority="3555">
      <formula>WEEKDAY(X$3,2)&gt;5</formula>
    </cfRule>
  </conditionalFormatting>
  <conditionalFormatting sqref="AB17:AF17">
    <cfRule type="expression" priority="3541">
      <formula>WEEKDAY(#REF!,2)&gt;5</formula>
    </cfRule>
  </conditionalFormatting>
  <conditionalFormatting sqref="AG17">
    <cfRule type="expression" priority="3513">
      <formula>WEEKDAY(AE$3,2)&gt;5</formula>
    </cfRule>
  </conditionalFormatting>
  <conditionalFormatting sqref="AH17">
    <cfRule type="expression" priority="3527">
      <formula>WEEKDAY(AF$3,2)&gt;5</formula>
    </cfRule>
  </conditionalFormatting>
  <conditionalFormatting sqref="D18:E18">
    <cfRule type="expression" priority="2783">
      <formula>WEEKDAY(B$3,2)&gt;5</formula>
    </cfRule>
  </conditionalFormatting>
  <conditionalFormatting sqref="F18">
    <cfRule type="expression" priority="2601">
      <formula>WEEKDAY(D$3,2)&gt;5</formula>
    </cfRule>
  </conditionalFormatting>
  <conditionalFormatting sqref="G18">
    <cfRule type="expression" priority="2965">
      <formula>WEEKDAY(E$3,2)&gt;5</formula>
    </cfRule>
  </conditionalFormatting>
  <conditionalFormatting sqref="H18">
    <cfRule type="expression" priority="2419">
      <formula>WEEKDAY(F$3,2)&gt;5</formula>
    </cfRule>
  </conditionalFormatting>
  <conditionalFormatting sqref="I18">
    <cfRule type="expression" priority="2237">
      <formula>WEEKDAY(#REF!,2)&gt;5</formula>
    </cfRule>
  </conditionalFormatting>
  <conditionalFormatting sqref="J18">
    <cfRule type="expression" priority="2055">
      <formula>WEEKDAY(#REF!,2)&gt;5</formula>
    </cfRule>
  </conditionalFormatting>
  <conditionalFormatting sqref="K18">
    <cfRule type="expression" priority="3329">
      <formula>WEEKDAY(#REF!,2)&gt;5</formula>
    </cfRule>
  </conditionalFormatting>
  <conditionalFormatting sqref="M18">
    <cfRule type="expression" priority="1873">
      <formula>WEEKDAY(K$3,2)&gt;5</formula>
    </cfRule>
  </conditionalFormatting>
  <conditionalFormatting sqref="O18:R18">
    <cfRule type="expression" priority="1691">
      <formula>WEEKDAY(#REF!,2)&gt;5</formula>
    </cfRule>
  </conditionalFormatting>
  <conditionalFormatting sqref="S18:T18">
    <cfRule type="expression" priority="1509">
      <formula>WEEKDAY(Q$3,2)&gt;5</formula>
    </cfRule>
  </conditionalFormatting>
  <conditionalFormatting sqref="U18:Y18">
    <cfRule type="expression" priority="1327">
      <formula>WEEKDAY(#REF!,2)&gt;5</formula>
    </cfRule>
  </conditionalFormatting>
  <conditionalFormatting sqref="X18:Y18">
    <cfRule type="expression" priority="3147">
      <formula>WEEKDAY(#REF!,2)&gt;5</formula>
    </cfRule>
  </conditionalFormatting>
  <conditionalFormatting sqref="Z18:AA18">
    <cfRule type="expression" priority="1145">
      <formula>WEEKDAY(X$3,2)&gt;5</formula>
    </cfRule>
  </conditionalFormatting>
  <conditionalFormatting sqref="AB18:AF18">
    <cfRule type="expression" priority="963">
      <formula>WEEKDAY(#REF!,2)&gt;5</formula>
    </cfRule>
  </conditionalFormatting>
  <conditionalFormatting sqref="AG18">
    <cfRule type="expression" priority="599">
      <formula>WEEKDAY(AE$3,2)&gt;5</formula>
    </cfRule>
  </conditionalFormatting>
  <conditionalFormatting sqref="AH18">
    <cfRule type="expression" priority="781">
      <formula>WEEKDAY(AF$3,2)&gt;5</formula>
    </cfRule>
  </conditionalFormatting>
  <conditionalFormatting sqref="D19:E19">
    <cfRule type="expression" priority="2782">
      <formula>WEEKDAY(B$3,2)&gt;5</formula>
    </cfRule>
  </conditionalFormatting>
  <conditionalFormatting sqref="F19">
    <cfRule type="expression" priority="2600">
      <formula>WEEKDAY(D$3,2)&gt;5</formula>
    </cfRule>
  </conditionalFormatting>
  <conditionalFormatting sqref="G19">
    <cfRule type="expression" priority="2964">
      <formula>WEEKDAY(E$3,2)&gt;5</formula>
    </cfRule>
  </conditionalFormatting>
  <conditionalFormatting sqref="H19">
    <cfRule type="expression" priority="2418">
      <formula>WEEKDAY(F$3,2)&gt;5</formula>
    </cfRule>
  </conditionalFormatting>
  <conditionalFormatting sqref="I19">
    <cfRule type="expression" priority="2236">
      <formula>WEEKDAY(#REF!,2)&gt;5</formula>
    </cfRule>
  </conditionalFormatting>
  <conditionalFormatting sqref="J19">
    <cfRule type="expression" priority="2054">
      <formula>WEEKDAY(#REF!,2)&gt;5</formula>
    </cfRule>
  </conditionalFormatting>
  <conditionalFormatting sqref="K19">
    <cfRule type="expression" priority="3328">
      <formula>WEEKDAY(#REF!,2)&gt;5</formula>
    </cfRule>
  </conditionalFormatting>
  <conditionalFormatting sqref="M19">
    <cfRule type="expression" priority="1872">
      <formula>WEEKDAY(K$3,2)&gt;5</formula>
    </cfRule>
  </conditionalFormatting>
  <conditionalFormatting sqref="O19:R19">
    <cfRule type="expression" priority="1690">
      <formula>WEEKDAY(#REF!,2)&gt;5</formula>
    </cfRule>
  </conditionalFormatting>
  <conditionalFormatting sqref="S19:T19">
    <cfRule type="expression" priority="1508">
      <formula>WEEKDAY(Q$3,2)&gt;5</formula>
    </cfRule>
  </conditionalFormatting>
  <conditionalFormatting sqref="U19:Y19">
    <cfRule type="expression" priority="1326">
      <formula>WEEKDAY(#REF!,2)&gt;5</formula>
    </cfRule>
  </conditionalFormatting>
  <conditionalFormatting sqref="X19:Y19">
    <cfRule type="expression" priority="3146">
      <formula>WEEKDAY(#REF!,2)&gt;5</formula>
    </cfRule>
  </conditionalFormatting>
  <conditionalFormatting sqref="Z19:AA19">
    <cfRule type="expression" priority="1144">
      <formula>WEEKDAY(X$3,2)&gt;5</formula>
    </cfRule>
  </conditionalFormatting>
  <conditionalFormatting sqref="AB19:AF19">
    <cfRule type="expression" priority="962">
      <formula>WEEKDAY(#REF!,2)&gt;5</formula>
    </cfRule>
  </conditionalFormatting>
  <conditionalFormatting sqref="AG19">
    <cfRule type="expression" priority="598">
      <formula>WEEKDAY(AE$3,2)&gt;5</formula>
    </cfRule>
  </conditionalFormatting>
  <conditionalFormatting sqref="AH19">
    <cfRule type="expression" priority="780">
      <formula>WEEKDAY(AF$3,2)&gt;5</formula>
    </cfRule>
  </conditionalFormatting>
  <conditionalFormatting sqref="D20:E20">
    <cfRule type="expression" priority="2781">
      <formula>WEEKDAY(B$3,2)&gt;5</formula>
    </cfRule>
  </conditionalFormatting>
  <conditionalFormatting sqref="F20">
    <cfRule type="expression" priority="2599">
      <formula>WEEKDAY(D$3,2)&gt;5</formula>
    </cfRule>
  </conditionalFormatting>
  <conditionalFormatting sqref="G20">
    <cfRule type="expression" priority="2963">
      <formula>WEEKDAY(E$3,2)&gt;5</formula>
    </cfRule>
  </conditionalFormatting>
  <conditionalFormatting sqref="H20">
    <cfRule type="expression" priority="2417">
      <formula>WEEKDAY(F$3,2)&gt;5</formula>
    </cfRule>
  </conditionalFormatting>
  <conditionalFormatting sqref="I20">
    <cfRule type="expression" priority="114">
      <formula>WEEKDAY(#REF!,2)&gt;5</formula>
    </cfRule>
  </conditionalFormatting>
  <conditionalFormatting sqref="J20">
    <cfRule type="expression" priority="2053">
      <formula>WEEKDAY(#REF!,2)&gt;5</formula>
    </cfRule>
  </conditionalFormatting>
  <conditionalFormatting sqref="K20">
    <cfRule type="expression" priority="3327">
      <formula>WEEKDAY(#REF!,2)&gt;5</formula>
    </cfRule>
  </conditionalFormatting>
  <conditionalFormatting sqref="M20">
    <cfRule type="expression" priority="1871">
      <formula>WEEKDAY(K$3,2)&gt;5</formula>
    </cfRule>
  </conditionalFormatting>
  <conditionalFormatting sqref="O20:R20">
    <cfRule type="expression" priority="1689">
      <formula>WEEKDAY(#REF!,2)&gt;5</formula>
    </cfRule>
  </conditionalFormatting>
  <conditionalFormatting sqref="S20:T20">
    <cfRule type="expression" priority="1507">
      <formula>WEEKDAY(Q$3,2)&gt;5</formula>
    </cfRule>
  </conditionalFormatting>
  <conditionalFormatting sqref="U20:Y20">
    <cfRule type="expression" priority="1325">
      <formula>WEEKDAY(#REF!,2)&gt;5</formula>
    </cfRule>
  </conditionalFormatting>
  <conditionalFormatting sqref="X20:Y20">
    <cfRule type="expression" priority="3145">
      <formula>WEEKDAY(#REF!,2)&gt;5</formula>
    </cfRule>
  </conditionalFormatting>
  <conditionalFormatting sqref="Z20:AA20">
    <cfRule type="expression" priority="1143">
      <formula>WEEKDAY(X$3,2)&gt;5</formula>
    </cfRule>
  </conditionalFormatting>
  <conditionalFormatting sqref="AB20:AF20">
    <cfRule type="expression" priority="961">
      <formula>WEEKDAY(#REF!,2)&gt;5</formula>
    </cfRule>
  </conditionalFormatting>
  <conditionalFormatting sqref="AG20">
    <cfRule type="expression" priority="597">
      <formula>WEEKDAY(AE$3,2)&gt;5</formula>
    </cfRule>
  </conditionalFormatting>
  <conditionalFormatting sqref="AH20">
    <cfRule type="expression" priority="779">
      <formula>WEEKDAY(AF$3,2)&gt;5</formula>
    </cfRule>
  </conditionalFormatting>
  <conditionalFormatting sqref="D21:E21">
    <cfRule type="expression" priority="2780">
      <formula>WEEKDAY(B$3,2)&gt;5</formula>
    </cfRule>
  </conditionalFormatting>
  <conditionalFormatting sqref="F21">
    <cfRule type="expression" priority="2598">
      <formula>WEEKDAY(D$3,2)&gt;5</formula>
    </cfRule>
  </conditionalFormatting>
  <conditionalFormatting sqref="G21">
    <cfRule type="expression" priority="2962">
      <formula>WEEKDAY(E$3,2)&gt;5</formula>
    </cfRule>
  </conditionalFormatting>
  <conditionalFormatting sqref="H21">
    <cfRule type="expression" priority="2416">
      <formula>WEEKDAY(F$3,2)&gt;5</formula>
    </cfRule>
  </conditionalFormatting>
  <conditionalFormatting sqref="I21">
    <cfRule type="expression" priority="2234">
      <formula>WEEKDAY(#REF!,2)&gt;5</formula>
    </cfRule>
  </conditionalFormatting>
  <conditionalFormatting sqref="J21">
    <cfRule type="expression" priority="2052">
      <formula>WEEKDAY(#REF!,2)&gt;5</formula>
    </cfRule>
  </conditionalFormatting>
  <conditionalFormatting sqref="K21">
    <cfRule type="expression" priority="3326">
      <formula>WEEKDAY(#REF!,2)&gt;5</formula>
    </cfRule>
  </conditionalFormatting>
  <conditionalFormatting sqref="M21">
    <cfRule type="expression" priority="1870">
      <formula>WEEKDAY(K$3,2)&gt;5</formula>
    </cfRule>
  </conditionalFormatting>
  <conditionalFormatting sqref="O21:R21">
    <cfRule type="expression" priority="1688">
      <formula>WEEKDAY(#REF!,2)&gt;5</formula>
    </cfRule>
  </conditionalFormatting>
  <conditionalFormatting sqref="S21:T21">
    <cfRule type="expression" priority="1506">
      <formula>WEEKDAY(Q$3,2)&gt;5</formula>
    </cfRule>
  </conditionalFormatting>
  <conditionalFormatting sqref="U21:Y21">
    <cfRule type="expression" priority="1324">
      <formula>WEEKDAY(#REF!,2)&gt;5</formula>
    </cfRule>
  </conditionalFormatting>
  <conditionalFormatting sqref="X21:Y21">
    <cfRule type="expression" priority="3144">
      <formula>WEEKDAY(#REF!,2)&gt;5</formula>
    </cfRule>
  </conditionalFormatting>
  <conditionalFormatting sqref="Z21:AA21">
    <cfRule type="expression" priority="1142">
      <formula>WEEKDAY(X$3,2)&gt;5</formula>
    </cfRule>
  </conditionalFormatting>
  <conditionalFormatting sqref="AB21:AF21">
    <cfRule type="expression" priority="960">
      <formula>WEEKDAY(#REF!,2)&gt;5</formula>
    </cfRule>
  </conditionalFormatting>
  <conditionalFormatting sqref="AG21">
    <cfRule type="expression" priority="596">
      <formula>WEEKDAY(AE$3,2)&gt;5</formula>
    </cfRule>
  </conditionalFormatting>
  <conditionalFormatting sqref="AH21">
    <cfRule type="expression" priority="778">
      <formula>WEEKDAY(AF$3,2)&gt;5</formula>
    </cfRule>
  </conditionalFormatting>
  <conditionalFormatting sqref="D22:E22">
    <cfRule type="expression" priority="2779">
      <formula>WEEKDAY(B$3,2)&gt;5</formula>
    </cfRule>
  </conditionalFormatting>
  <conditionalFormatting sqref="F22">
    <cfRule type="expression" priority="2597">
      <formula>WEEKDAY(D$3,2)&gt;5</formula>
    </cfRule>
  </conditionalFormatting>
  <conditionalFormatting sqref="G22">
    <cfRule type="expression" priority="2961">
      <formula>WEEKDAY(E$3,2)&gt;5</formula>
    </cfRule>
  </conditionalFormatting>
  <conditionalFormatting sqref="H22">
    <cfRule type="expression" priority="2415">
      <formula>WEEKDAY(F$3,2)&gt;5</formula>
    </cfRule>
  </conditionalFormatting>
  <conditionalFormatting sqref="I22">
    <cfRule type="expression" priority="2233">
      <formula>WEEKDAY(#REF!,2)&gt;5</formula>
    </cfRule>
  </conditionalFormatting>
  <conditionalFormatting sqref="J22">
    <cfRule type="expression" priority="2051">
      <formula>WEEKDAY(#REF!,2)&gt;5</formula>
    </cfRule>
  </conditionalFormatting>
  <conditionalFormatting sqref="K22">
    <cfRule type="expression" priority="3325">
      <formula>WEEKDAY(#REF!,2)&gt;5</formula>
    </cfRule>
  </conditionalFormatting>
  <conditionalFormatting sqref="M22">
    <cfRule type="expression" priority="1869">
      <formula>WEEKDAY(K$3,2)&gt;5</formula>
    </cfRule>
  </conditionalFormatting>
  <conditionalFormatting sqref="O22:R22">
    <cfRule type="expression" priority="1687">
      <formula>WEEKDAY(#REF!,2)&gt;5</formula>
    </cfRule>
  </conditionalFormatting>
  <conditionalFormatting sqref="S22:T22">
    <cfRule type="expression" priority="1505">
      <formula>WEEKDAY(Q$3,2)&gt;5</formula>
    </cfRule>
  </conditionalFormatting>
  <conditionalFormatting sqref="U22:Y22">
    <cfRule type="expression" priority="1323">
      <formula>WEEKDAY(#REF!,2)&gt;5</formula>
    </cfRule>
  </conditionalFormatting>
  <conditionalFormatting sqref="X22:Y22">
    <cfRule type="expression" priority="3143">
      <formula>WEEKDAY(#REF!,2)&gt;5</formula>
    </cfRule>
  </conditionalFormatting>
  <conditionalFormatting sqref="Z22:AA22">
    <cfRule type="expression" priority="1141">
      <formula>WEEKDAY(X$3,2)&gt;5</formula>
    </cfRule>
  </conditionalFormatting>
  <conditionalFormatting sqref="AB22:AE22">
    <cfRule type="expression" priority="959">
      <formula>WEEKDAY(#REF!,2)&gt;5</formula>
    </cfRule>
  </conditionalFormatting>
  <conditionalFormatting sqref="AF22">
    <cfRule type="expression" priority="115">
      <formula>WEEKDAY(AB$3,2)&gt;5</formula>
    </cfRule>
  </conditionalFormatting>
  <conditionalFormatting sqref="AG22">
    <cfRule type="expression" priority="595">
      <formula>WEEKDAY(AE$3,2)&gt;5</formula>
    </cfRule>
  </conditionalFormatting>
  <conditionalFormatting sqref="AH22">
    <cfRule type="expression" priority="777">
      <formula>WEEKDAY(AF$3,2)&gt;5</formula>
    </cfRule>
  </conditionalFormatting>
  <conditionalFormatting sqref="D23:E23">
    <cfRule type="expression" priority="2778">
      <formula>WEEKDAY(B$3,2)&gt;5</formula>
    </cfRule>
  </conditionalFormatting>
  <conditionalFormatting sqref="F23">
    <cfRule type="expression" priority="2596">
      <formula>WEEKDAY(D$3,2)&gt;5</formula>
    </cfRule>
  </conditionalFormatting>
  <conditionalFormatting sqref="G23">
    <cfRule type="expression" priority="2960">
      <formula>WEEKDAY(E$3,2)&gt;5</formula>
    </cfRule>
  </conditionalFormatting>
  <conditionalFormatting sqref="H23">
    <cfRule type="expression" priority="2414">
      <formula>WEEKDAY(F$3,2)&gt;5</formula>
    </cfRule>
  </conditionalFormatting>
  <conditionalFormatting sqref="I23">
    <cfRule type="expression" priority="2232">
      <formula>WEEKDAY(#REF!,2)&gt;5</formula>
    </cfRule>
  </conditionalFormatting>
  <conditionalFormatting sqref="J23">
    <cfRule type="expression" priority="2050">
      <formula>WEEKDAY(#REF!,2)&gt;5</formula>
    </cfRule>
  </conditionalFormatting>
  <conditionalFormatting sqref="K23">
    <cfRule type="expression" priority="3324">
      <formula>WEEKDAY(#REF!,2)&gt;5</formula>
    </cfRule>
  </conditionalFormatting>
  <conditionalFormatting sqref="M23">
    <cfRule type="expression" priority="1868">
      <formula>WEEKDAY(K$3,2)&gt;5</formula>
    </cfRule>
  </conditionalFormatting>
  <conditionalFormatting sqref="O23:R23">
    <cfRule type="expression" priority="1686">
      <formula>WEEKDAY(#REF!,2)&gt;5</formula>
    </cfRule>
  </conditionalFormatting>
  <conditionalFormatting sqref="S23:T23">
    <cfRule type="expression" priority="1504">
      <formula>WEEKDAY(Q$3,2)&gt;5</formula>
    </cfRule>
  </conditionalFormatting>
  <conditionalFormatting sqref="U23:Y23">
    <cfRule type="expression" priority="1322">
      <formula>WEEKDAY(#REF!,2)&gt;5</formula>
    </cfRule>
  </conditionalFormatting>
  <conditionalFormatting sqref="X23:Y23">
    <cfRule type="expression" priority="3142">
      <formula>WEEKDAY(#REF!,2)&gt;5</formula>
    </cfRule>
  </conditionalFormatting>
  <conditionalFormatting sqref="Z23:AA23">
    <cfRule type="expression" priority="1140">
      <formula>WEEKDAY(X$3,2)&gt;5</formula>
    </cfRule>
  </conditionalFormatting>
  <conditionalFormatting sqref="AB23:AF23">
    <cfRule type="expression" priority="958">
      <formula>WEEKDAY(#REF!,2)&gt;5</formula>
    </cfRule>
  </conditionalFormatting>
  <conditionalFormatting sqref="AG23">
    <cfRule type="expression" priority="594">
      <formula>WEEKDAY(AE$3,2)&gt;5</formula>
    </cfRule>
  </conditionalFormatting>
  <conditionalFormatting sqref="AH23">
    <cfRule type="expression" priority="776">
      <formula>WEEKDAY(AF$3,2)&gt;5</formula>
    </cfRule>
  </conditionalFormatting>
  <conditionalFormatting sqref="B24">
    <cfRule type="duplicateValues" dxfId="1" priority="15481"/>
  </conditionalFormatting>
  <conditionalFormatting sqref="D24:E24">
    <cfRule type="expression" priority="2777">
      <formula>WEEKDAY(B$3,2)&gt;5</formula>
    </cfRule>
  </conditionalFormatting>
  <conditionalFormatting sqref="F24">
    <cfRule type="expression" priority="2595">
      <formula>WEEKDAY(D$3,2)&gt;5</formula>
    </cfRule>
  </conditionalFormatting>
  <conditionalFormatting sqref="G24">
    <cfRule type="expression" priority="2959">
      <formula>WEEKDAY(E$3,2)&gt;5</formula>
    </cfRule>
  </conditionalFormatting>
  <conditionalFormatting sqref="H24">
    <cfRule type="expression" priority="2413">
      <formula>WEEKDAY(F$3,2)&gt;5</formula>
    </cfRule>
  </conditionalFormatting>
  <conditionalFormatting sqref="I24">
    <cfRule type="expression" priority="2231">
      <formula>WEEKDAY(#REF!,2)&gt;5</formula>
    </cfRule>
  </conditionalFormatting>
  <conditionalFormatting sqref="J24">
    <cfRule type="expression" priority="2049">
      <formula>WEEKDAY(#REF!,2)&gt;5</formula>
    </cfRule>
  </conditionalFormatting>
  <conditionalFormatting sqref="K24">
    <cfRule type="expression" priority="3323">
      <formula>WEEKDAY(#REF!,2)&gt;5</formula>
    </cfRule>
  </conditionalFormatting>
  <conditionalFormatting sqref="M24">
    <cfRule type="expression" priority="1867">
      <formula>WEEKDAY(K$3,2)&gt;5</formula>
    </cfRule>
  </conditionalFormatting>
  <conditionalFormatting sqref="O24:Q24">
    <cfRule type="expression" priority="1685">
      <formula>WEEKDAY(#REF!,2)&gt;5</formula>
    </cfRule>
  </conditionalFormatting>
  <conditionalFormatting sqref="R24">
    <cfRule type="expression" priority="119">
      <formula>WEEKDAY(#REF!,2)&gt;5</formula>
    </cfRule>
  </conditionalFormatting>
  <conditionalFormatting sqref="S24:T24">
    <cfRule type="expression" priority="1503">
      <formula>WEEKDAY(Q$3,2)&gt;5</formula>
    </cfRule>
  </conditionalFormatting>
  <conditionalFormatting sqref="U24">
    <cfRule type="expression" priority="118">
      <formula>WEEKDAY(#REF!,2)&gt;5</formula>
    </cfRule>
  </conditionalFormatting>
  <conditionalFormatting sqref="V24:Y24">
    <cfRule type="expression" priority="117">
      <formula>WEEKDAY(#REF!,2)&gt;5</formula>
    </cfRule>
  </conditionalFormatting>
  <conditionalFormatting sqref="Z24:AA24">
    <cfRule type="expression" priority="1139">
      <formula>WEEKDAY(X$3,2)&gt;5</formula>
    </cfRule>
  </conditionalFormatting>
  <conditionalFormatting sqref="AB24:AF24">
    <cfRule type="expression" priority="116">
      <formula>WEEKDAY(#REF!,2)&gt;5</formula>
    </cfRule>
  </conditionalFormatting>
  <conditionalFormatting sqref="AG24">
    <cfRule type="expression" priority="593">
      <formula>WEEKDAY(AE$3,2)&gt;5</formula>
    </cfRule>
  </conditionalFormatting>
  <conditionalFormatting sqref="AH24">
    <cfRule type="expression" priority="775">
      <formula>WEEKDAY(AF$3,2)&gt;5</formula>
    </cfRule>
  </conditionalFormatting>
  <conditionalFormatting sqref="F25">
    <cfRule type="expression" priority="2594">
      <formula>WEEKDAY(D$3,2)&gt;5</formula>
    </cfRule>
  </conditionalFormatting>
  <conditionalFormatting sqref="G25">
    <cfRule type="expression" priority="2958">
      <formula>WEEKDAY(E$3,2)&gt;5</formula>
    </cfRule>
  </conditionalFormatting>
  <conditionalFormatting sqref="H25">
    <cfRule type="expression" priority="2412">
      <formula>WEEKDAY(F$3,2)&gt;5</formula>
    </cfRule>
  </conditionalFormatting>
  <conditionalFormatting sqref="I25">
    <cfRule type="expression" priority="2230">
      <formula>WEEKDAY(#REF!,2)&gt;5</formula>
    </cfRule>
  </conditionalFormatting>
  <conditionalFormatting sqref="J25">
    <cfRule type="expression" priority="2048">
      <formula>WEEKDAY(#REF!,2)&gt;5</formula>
    </cfRule>
  </conditionalFormatting>
  <conditionalFormatting sqref="K25">
    <cfRule type="expression" priority="3322">
      <formula>WEEKDAY(#REF!,2)&gt;5</formula>
    </cfRule>
  </conditionalFormatting>
  <conditionalFormatting sqref="M25">
    <cfRule type="expression" priority="1866">
      <formula>WEEKDAY(K$3,2)&gt;5</formula>
    </cfRule>
  </conditionalFormatting>
  <conditionalFormatting sqref="O25:R25">
    <cfRule type="expression" priority="1684">
      <formula>WEEKDAY(#REF!,2)&gt;5</formula>
    </cfRule>
  </conditionalFormatting>
  <conditionalFormatting sqref="S25:T25">
    <cfRule type="expression" priority="1502">
      <formula>WEEKDAY(Q$3,2)&gt;5</formula>
    </cfRule>
  </conditionalFormatting>
  <conditionalFormatting sqref="U25:Y25">
    <cfRule type="expression" priority="1320">
      <formula>WEEKDAY(#REF!,2)&gt;5</formula>
    </cfRule>
  </conditionalFormatting>
  <conditionalFormatting sqref="X25:Y25">
    <cfRule type="expression" priority="3140">
      <formula>WEEKDAY(#REF!,2)&gt;5</formula>
    </cfRule>
  </conditionalFormatting>
  <conditionalFormatting sqref="Z25:AA25">
    <cfRule type="expression" priority="1138">
      <formula>WEEKDAY(X$3,2)&gt;5</formula>
    </cfRule>
  </conditionalFormatting>
  <conditionalFormatting sqref="AB25:AF25">
    <cfRule type="expression" priority="956">
      <formula>WEEKDAY(#REF!,2)&gt;5</formula>
    </cfRule>
  </conditionalFormatting>
  <conditionalFormatting sqref="AG25">
    <cfRule type="expression" priority="592">
      <formula>WEEKDAY(AE$3,2)&gt;5</formula>
    </cfRule>
  </conditionalFormatting>
  <conditionalFormatting sqref="AH25">
    <cfRule type="expression" priority="774">
      <formula>WEEKDAY(AF$3,2)&gt;5</formula>
    </cfRule>
  </conditionalFormatting>
  <conditionalFormatting sqref="O26:AH26">
    <cfRule type="expression" priority="120">
      <formula>WEEKDAY(M$3,2)&gt;5</formula>
    </cfRule>
  </conditionalFormatting>
  <conditionalFormatting sqref="K27">
    <cfRule type="expression" priority="112">
      <formula>WEEKDAY(#REF!,2)&gt;5</formula>
    </cfRule>
  </conditionalFormatting>
  <conditionalFormatting sqref="M27">
    <cfRule type="expression" priority="110">
      <formula>WEEKDAY(K$3,2)&gt;5</formula>
    </cfRule>
  </conditionalFormatting>
  <conditionalFormatting sqref="O27:R27">
    <cfRule type="expression" priority="109">
      <formula>WEEKDAY(#REF!,2)&gt;5</formula>
    </cfRule>
  </conditionalFormatting>
  <conditionalFormatting sqref="S27:T27">
    <cfRule type="expression" priority="108">
      <formula>WEEKDAY(Q$3,2)&gt;5</formula>
    </cfRule>
  </conditionalFormatting>
  <conditionalFormatting sqref="U27:Y27">
    <cfRule type="expression" priority="107">
      <formula>WEEKDAY(#REF!,2)&gt;5</formula>
    </cfRule>
  </conditionalFormatting>
  <conditionalFormatting sqref="X27:Y27">
    <cfRule type="expression" priority="111">
      <formula>WEEKDAY(#REF!,2)&gt;5</formula>
    </cfRule>
  </conditionalFormatting>
  <conditionalFormatting sqref="Z27:AA27">
    <cfRule type="expression" priority="106">
      <formula>WEEKDAY(X$3,2)&gt;5</formula>
    </cfRule>
  </conditionalFormatting>
  <conditionalFormatting sqref="AB27:AF27">
    <cfRule type="expression" priority="105">
      <formula>WEEKDAY(#REF!,2)&gt;5</formula>
    </cfRule>
  </conditionalFormatting>
  <conditionalFormatting sqref="AG27">
    <cfRule type="expression" priority="103">
      <formula>WEEKDAY(AE$3,2)&gt;5</formula>
    </cfRule>
  </conditionalFormatting>
  <conditionalFormatting sqref="AH27">
    <cfRule type="expression" priority="104">
      <formula>WEEKDAY(AF$3,2)&gt;5</formula>
    </cfRule>
  </conditionalFormatting>
  <conditionalFormatting sqref="B28">
    <cfRule type="duplicateValues" dxfId="1" priority="15534"/>
  </conditionalFormatting>
  <conditionalFormatting sqref="D28:E28">
    <cfRule type="expression" priority="2775">
      <formula>WEEKDAY(B$3,2)&gt;5</formula>
    </cfRule>
  </conditionalFormatting>
  <conditionalFormatting sqref="F28">
    <cfRule type="expression" priority="2593">
      <formula>WEEKDAY(D$3,2)&gt;5</formula>
    </cfRule>
  </conditionalFormatting>
  <conditionalFormatting sqref="G28">
    <cfRule type="expression" priority="2957">
      <formula>WEEKDAY(E$3,2)&gt;5</formula>
    </cfRule>
  </conditionalFormatting>
  <conditionalFormatting sqref="H28">
    <cfRule type="expression" priority="2411">
      <formula>WEEKDAY(F$3,2)&gt;5</formula>
    </cfRule>
  </conditionalFormatting>
  <conditionalFormatting sqref="I28">
    <cfRule type="expression" priority="2229">
      <formula>WEEKDAY(#REF!,2)&gt;5</formula>
    </cfRule>
  </conditionalFormatting>
  <conditionalFormatting sqref="J28">
    <cfRule type="expression" priority="2047">
      <formula>WEEKDAY(#REF!,2)&gt;5</formula>
    </cfRule>
  </conditionalFormatting>
  <conditionalFormatting sqref="K28">
    <cfRule type="expression" priority="3321">
      <formula>WEEKDAY(#REF!,2)&gt;5</formula>
    </cfRule>
  </conditionalFormatting>
  <conditionalFormatting sqref="M28">
    <cfRule type="expression" priority="1865">
      <formula>WEEKDAY(K$3,2)&gt;5</formula>
    </cfRule>
  </conditionalFormatting>
  <conditionalFormatting sqref="O28:R28">
    <cfRule type="expression" priority="1683">
      <formula>WEEKDAY(#REF!,2)&gt;5</formula>
    </cfRule>
  </conditionalFormatting>
  <conditionalFormatting sqref="S28:T28">
    <cfRule type="expression" priority="1501">
      <formula>WEEKDAY(Q$3,2)&gt;5</formula>
    </cfRule>
  </conditionalFormatting>
  <conditionalFormatting sqref="U28:Y28">
    <cfRule type="expression" priority="1319">
      <formula>WEEKDAY(#REF!,2)&gt;5</formula>
    </cfRule>
  </conditionalFormatting>
  <conditionalFormatting sqref="X28:Y28">
    <cfRule type="expression" priority="3139">
      <formula>WEEKDAY(#REF!,2)&gt;5</formula>
    </cfRule>
  </conditionalFormatting>
  <conditionalFormatting sqref="Z28:AA28">
    <cfRule type="expression" priority="1137">
      <formula>WEEKDAY(X$3,2)&gt;5</formula>
    </cfRule>
  </conditionalFormatting>
  <conditionalFormatting sqref="AB28:AF28">
    <cfRule type="expression" priority="955">
      <formula>WEEKDAY(#REF!,2)&gt;5</formula>
    </cfRule>
  </conditionalFormatting>
  <conditionalFormatting sqref="AG28">
    <cfRule type="expression" priority="591">
      <formula>WEEKDAY(AE$3,2)&gt;5</formula>
    </cfRule>
  </conditionalFormatting>
  <conditionalFormatting sqref="AH28">
    <cfRule type="expression" priority="773">
      <formula>WEEKDAY(AF$3,2)&gt;5</formula>
    </cfRule>
  </conditionalFormatting>
  <conditionalFormatting sqref="D29:E29">
    <cfRule type="expression" priority="2774">
      <formula>WEEKDAY(B$3,2)&gt;5</formula>
    </cfRule>
  </conditionalFormatting>
  <conditionalFormatting sqref="F29">
    <cfRule type="expression" priority="2592">
      <formula>WEEKDAY(D$3,2)&gt;5</formula>
    </cfRule>
  </conditionalFormatting>
  <conditionalFormatting sqref="G29">
    <cfRule type="expression" priority="2956">
      <formula>WEEKDAY(E$3,2)&gt;5</formula>
    </cfRule>
  </conditionalFormatting>
  <conditionalFormatting sqref="H29">
    <cfRule type="expression" priority="2410">
      <formula>WEEKDAY(F$3,2)&gt;5</formula>
    </cfRule>
  </conditionalFormatting>
  <conditionalFormatting sqref="I29">
    <cfRule type="expression" priority="2228">
      <formula>WEEKDAY(#REF!,2)&gt;5</formula>
    </cfRule>
  </conditionalFormatting>
  <conditionalFormatting sqref="J29">
    <cfRule type="expression" priority="2046">
      <formula>WEEKDAY(#REF!,2)&gt;5</formula>
    </cfRule>
  </conditionalFormatting>
  <conditionalFormatting sqref="K29">
    <cfRule type="expression" priority="3320">
      <formula>WEEKDAY(#REF!,2)&gt;5</formula>
    </cfRule>
  </conditionalFormatting>
  <conditionalFormatting sqref="L29">
    <cfRule type="expression" priority="102">
      <formula>WEEKDAY(H$3,2)&gt;5</formula>
    </cfRule>
  </conditionalFormatting>
  <conditionalFormatting sqref="M29">
    <cfRule type="expression" priority="1864">
      <formula>WEEKDAY(K$3,2)&gt;5</formula>
    </cfRule>
  </conditionalFormatting>
  <conditionalFormatting sqref="N29">
    <cfRule type="expression" priority="3502">
      <formula>WEEKDAY(#REF!,2)&gt;5</formula>
    </cfRule>
  </conditionalFormatting>
  <conditionalFormatting sqref="O29:R29">
    <cfRule type="expression" priority="1682">
      <formula>WEEKDAY(#REF!,2)&gt;5</formula>
    </cfRule>
  </conditionalFormatting>
  <conditionalFormatting sqref="S29:T29">
    <cfRule type="expression" priority="1500">
      <formula>WEEKDAY(Q$3,2)&gt;5</formula>
    </cfRule>
  </conditionalFormatting>
  <conditionalFormatting sqref="U29:Y29">
    <cfRule type="expression" priority="1318">
      <formula>WEEKDAY(#REF!,2)&gt;5</formula>
    </cfRule>
  </conditionalFormatting>
  <conditionalFormatting sqref="X29:Y29">
    <cfRule type="expression" priority="3138">
      <formula>WEEKDAY(#REF!,2)&gt;5</formula>
    </cfRule>
  </conditionalFormatting>
  <conditionalFormatting sqref="Z29:AA29">
    <cfRule type="expression" priority="1136">
      <formula>WEEKDAY(X$3,2)&gt;5</formula>
    </cfRule>
  </conditionalFormatting>
  <conditionalFormatting sqref="AB29:AF29">
    <cfRule type="expression" priority="954">
      <formula>WEEKDAY(#REF!,2)&gt;5</formula>
    </cfRule>
  </conditionalFormatting>
  <conditionalFormatting sqref="AG29">
    <cfRule type="expression" priority="590">
      <formula>WEEKDAY(AE$3,2)&gt;5</formula>
    </cfRule>
  </conditionalFormatting>
  <conditionalFormatting sqref="AH29">
    <cfRule type="expression" priority="772">
      <formula>WEEKDAY(AF$3,2)&gt;5</formula>
    </cfRule>
  </conditionalFormatting>
  <conditionalFormatting sqref="B30">
    <cfRule type="duplicateValues" dxfId="1" priority="15528"/>
  </conditionalFormatting>
  <conditionalFormatting sqref="D30:E30">
    <cfRule type="expression" priority="2773">
      <formula>WEEKDAY(B$3,2)&gt;5</formula>
    </cfRule>
  </conditionalFormatting>
  <conditionalFormatting sqref="F30">
    <cfRule type="expression" priority="2591">
      <formula>WEEKDAY(D$3,2)&gt;5</formula>
    </cfRule>
  </conditionalFormatting>
  <conditionalFormatting sqref="G30">
    <cfRule type="expression" priority="2955">
      <formula>WEEKDAY(E$3,2)&gt;5</formula>
    </cfRule>
  </conditionalFormatting>
  <conditionalFormatting sqref="H30">
    <cfRule type="expression" priority="2409">
      <formula>WEEKDAY(F$3,2)&gt;5</formula>
    </cfRule>
  </conditionalFormatting>
  <conditionalFormatting sqref="I30">
    <cfRule type="expression" priority="2227">
      <formula>WEEKDAY(#REF!,2)&gt;5</formula>
    </cfRule>
  </conditionalFormatting>
  <conditionalFormatting sqref="J30">
    <cfRule type="expression" priority="2045">
      <formula>WEEKDAY(#REF!,2)&gt;5</formula>
    </cfRule>
  </conditionalFormatting>
  <conditionalFormatting sqref="K30">
    <cfRule type="expression" priority="3319">
      <formula>WEEKDAY(#REF!,2)&gt;5</formula>
    </cfRule>
  </conditionalFormatting>
  <conditionalFormatting sqref="M30">
    <cfRule type="expression" priority="1863">
      <formula>WEEKDAY(K$3,2)&gt;5</formula>
    </cfRule>
  </conditionalFormatting>
  <conditionalFormatting sqref="O30:R30">
    <cfRule type="expression" priority="1681">
      <formula>WEEKDAY(#REF!,2)&gt;5</formula>
    </cfRule>
  </conditionalFormatting>
  <conditionalFormatting sqref="S30:T30">
    <cfRule type="expression" priority="1499">
      <formula>WEEKDAY(Q$3,2)&gt;5</formula>
    </cfRule>
  </conditionalFormatting>
  <conditionalFormatting sqref="U30:Y30">
    <cfRule type="expression" priority="1317">
      <formula>WEEKDAY(#REF!,2)&gt;5</formula>
    </cfRule>
  </conditionalFormatting>
  <conditionalFormatting sqref="X30:Y30">
    <cfRule type="expression" priority="3137">
      <formula>WEEKDAY(#REF!,2)&gt;5</formula>
    </cfRule>
  </conditionalFormatting>
  <conditionalFormatting sqref="Z30:AA30">
    <cfRule type="expression" priority="1135">
      <formula>WEEKDAY(X$3,2)&gt;5</formula>
    </cfRule>
  </conditionalFormatting>
  <conditionalFormatting sqref="AB30:AF30">
    <cfRule type="expression" priority="953">
      <formula>WEEKDAY(#REF!,2)&gt;5</formula>
    </cfRule>
  </conditionalFormatting>
  <conditionalFormatting sqref="AG30">
    <cfRule type="expression" priority="589">
      <formula>WEEKDAY(AE$3,2)&gt;5</formula>
    </cfRule>
  </conditionalFormatting>
  <conditionalFormatting sqref="AH30">
    <cfRule type="expression" priority="771">
      <formula>WEEKDAY(AF$3,2)&gt;5</formula>
    </cfRule>
  </conditionalFormatting>
  <conditionalFormatting sqref="D31:E31">
    <cfRule type="expression" priority="2772">
      <formula>WEEKDAY(B$3,2)&gt;5</formula>
    </cfRule>
  </conditionalFormatting>
  <conditionalFormatting sqref="F31">
    <cfRule type="expression" priority="2590">
      <formula>WEEKDAY(D$3,2)&gt;5</formula>
    </cfRule>
  </conditionalFormatting>
  <conditionalFormatting sqref="G31">
    <cfRule type="expression" priority="2954">
      <formula>WEEKDAY(E$3,2)&gt;5</formula>
    </cfRule>
  </conditionalFormatting>
  <conditionalFormatting sqref="H31">
    <cfRule type="expression" priority="2408">
      <formula>WEEKDAY(F$3,2)&gt;5</formula>
    </cfRule>
  </conditionalFormatting>
  <conditionalFormatting sqref="I31">
    <cfRule type="expression" priority="2226">
      <formula>WEEKDAY(#REF!,2)&gt;5</formula>
    </cfRule>
  </conditionalFormatting>
  <conditionalFormatting sqref="J31">
    <cfRule type="expression" priority="2044">
      <formula>WEEKDAY(#REF!,2)&gt;5</formula>
    </cfRule>
  </conditionalFormatting>
  <conditionalFormatting sqref="K31">
    <cfRule type="expression" priority="3318">
      <formula>WEEKDAY(#REF!,2)&gt;5</formula>
    </cfRule>
  </conditionalFormatting>
  <conditionalFormatting sqref="M31">
    <cfRule type="expression" priority="1862">
      <formula>WEEKDAY(K$3,2)&gt;5</formula>
    </cfRule>
  </conditionalFormatting>
  <conditionalFormatting sqref="O31:R31">
    <cfRule type="expression" priority="1680">
      <formula>WEEKDAY(#REF!,2)&gt;5</formula>
    </cfRule>
  </conditionalFormatting>
  <conditionalFormatting sqref="S31:T31">
    <cfRule type="expression" priority="1498">
      <formula>WEEKDAY(Q$3,2)&gt;5</formula>
    </cfRule>
  </conditionalFormatting>
  <conditionalFormatting sqref="U31:Y31">
    <cfRule type="expression" priority="1316">
      <formula>WEEKDAY(#REF!,2)&gt;5</formula>
    </cfRule>
  </conditionalFormatting>
  <conditionalFormatting sqref="X31:Y31">
    <cfRule type="expression" priority="3136">
      <formula>WEEKDAY(#REF!,2)&gt;5</formula>
    </cfRule>
  </conditionalFormatting>
  <conditionalFormatting sqref="Z31:AA31">
    <cfRule type="expression" priority="1134">
      <formula>WEEKDAY(X$3,2)&gt;5</formula>
    </cfRule>
  </conditionalFormatting>
  <conditionalFormatting sqref="AB31:AF31">
    <cfRule type="expression" priority="952">
      <formula>WEEKDAY(#REF!,2)&gt;5</formula>
    </cfRule>
  </conditionalFormatting>
  <conditionalFormatting sqref="AG31">
    <cfRule type="expression" priority="588">
      <formula>WEEKDAY(AE$3,2)&gt;5</formula>
    </cfRule>
  </conditionalFormatting>
  <conditionalFormatting sqref="AH31">
    <cfRule type="expression" priority="770">
      <formula>WEEKDAY(AF$3,2)&gt;5</formula>
    </cfRule>
  </conditionalFormatting>
  <conditionalFormatting sqref="D32:E32">
    <cfRule type="expression" priority="2771">
      <formula>WEEKDAY(B$3,2)&gt;5</formula>
    </cfRule>
  </conditionalFormatting>
  <conditionalFormatting sqref="F32">
    <cfRule type="expression" priority="2589">
      <formula>WEEKDAY(D$3,2)&gt;5</formula>
    </cfRule>
  </conditionalFormatting>
  <conditionalFormatting sqref="G32">
    <cfRule type="expression" priority="2953">
      <formula>WEEKDAY(E$3,2)&gt;5</formula>
    </cfRule>
  </conditionalFormatting>
  <conditionalFormatting sqref="H32">
    <cfRule type="expression" priority="2407">
      <formula>WEEKDAY(F$3,2)&gt;5</formula>
    </cfRule>
  </conditionalFormatting>
  <conditionalFormatting sqref="I32">
    <cfRule type="expression" priority="2225">
      <formula>WEEKDAY(#REF!,2)&gt;5</formula>
    </cfRule>
  </conditionalFormatting>
  <conditionalFormatting sqref="J32">
    <cfRule type="expression" priority="2043">
      <formula>WEEKDAY(#REF!,2)&gt;5</formula>
    </cfRule>
  </conditionalFormatting>
  <conditionalFormatting sqref="K32">
    <cfRule type="expression" priority="3317">
      <formula>WEEKDAY(#REF!,2)&gt;5</formula>
    </cfRule>
  </conditionalFormatting>
  <conditionalFormatting sqref="M32">
    <cfRule type="expression" priority="1861">
      <formula>WEEKDAY(K$3,2)&gt;5</formula>
    </cfRule>
  </conditionalFormatting>
  <conditionalFormatting sqref="O32:R32">
    <cfRule type="expression" priority="1679">
      <formula>WEEKDAY(#REF!,2)&gt;5</formula>
    </cfRule>
  </conditionalFormatting>
  <conditionalFormatting sqref="S32:T32">
    <cfRule type="expression" priority="1497">
      <formula>WEEKDAY(Q$3,2)&gt;5</formula>
    </cfRule>
  </conditionalFormatting>
  <conditionalFormatting sqref="U32:Y32">
    <cfRule type="expression" priority="1315">
      <formula>WEEKDAY(#REF!,2)&gt;5</formula>
    </cfRule>
  </conditionalFormatting>
  <conditionalFormatting sqref="X32:Y32">
    <cfRule type="expression" priority="3135">
      <formula>WEEKDAY(#REF!,2)&gt;5</formula>
    </cfRule>
  </conditionalFormatting>
  <conditionalFormatting sqref="Z32:AA32">
    <cfRule type="expression" priority="1133">
      <formula>WEEKDAY(X$3,2)&gt;5</formula>
    </cfRule>
  </conditionalFormatting>
  <conditionalFormatting sqref="AB32:AF32">
    <cfRule type="expression" priority="951">
      <formula>WEEKDAY(#REF!,2)&gt;5</formula>
    </cfRule>
  </conditionalFormatting>
  <conditionalFormatting sqref="AG32">
    <cfRule type="expression" priority="587">
      <formula>WEEKDAY(AE$3,2)&gt;5</formula>
    </cfRule>
  </conditionalFormatting>
  <conditionalFormatting sqref="AH32">
    <cfRule type="expression" priority="769">
      <formula>WEEKDAY(AF$3,2)&gt;5</formula>
    </cfRule>
  </conditionalFormatting>
  <conditionalFormatting sqref="D33:E33">
    <cfRule type="expression" priority="2770">
      <formula>WEEKDAY(B$3,2)&gt;5</formula>
    </cfRule>
  </conditionalFormatting>
  <conditionalFormatting sqref="F33">
    <cfRule type="expression" priority="2588">
      <formula>WEEKDAY(D$3,2)&gt;5</formula>
    </cfRule>
  </conditionalFormatting>
  <conditionalFormatting sqref="G33">
    <cfRule type="expression" priority="2952">
      <formula>WEEKDAY(E$3,2)&gt;5</formula>
    </cfRule>
  </conditionalFormatting>
  <conditionalFormatting sqref="H33">
    <cfRule type="expression" priority="2406">
      <formula>WEEKDAY(F$3,2)&gt;5</formula>
    </cfRule>
  </conditionalFormatting>
  <conditionalFormatting sqref="I33">
    <cfRule type="expression" priority="2224">
      <formula>WEEKDAY(#REF!,2)&gt;5</formula>
    </cfRule>
  </conditionalFormatting>
  <conditionalFormatting sqref="J33">
    <cfRule type="expression" priority="2042">
      <formula>WEEKDAY(#REF!,2)&gt;5</formula>
    </cfRule>
  </conditionalFormatting>
  <conditionalFormatting sqref="K33">
    <cfRule type="expression" priority="3316">
      <formula>WEEKDAY(#REF!,2)&gt;5</formula>
    </cfRule>
  </conditionalFormatting>
  <conditionalFormatting sqref="M33">
    <cfRule type="expression" priority="1860">
      <formula>WEEKDAY(K$3,2)&gt;5</formula>
    </cfRule>
  </conditionalFormatting>
  <conditionalFormatting sqref="O33:R33">
    <cfRule type="expression" priority="1678">
      <formula>WEEKDAY(#REF!,2)&gt;5</formula>
    </cfRule>
  </conditionalFormatting>
  <conditionalFormatting sqref="S33:T33">
    <cfRule type="expression" priority="1496">
      <formula>WEEKDAY(Q$3,2)&gt;5</formula>
    </cfRule>
  </conditionalFormatting>
  <conditionalFormatting sqref="U33:Y33">
    <cfRule type="expression" priority="1314">
      <formula>WEEKDAY(#REF!,2)&gt;5</formula>
    </cfRule>
  </conditionalFormatting>
  <conditionalFormatting sqref="X33:Y33">
    <cfRule type="expression" priority="3134">
      <formula>WEEKDAY(#REF!,2)&gt;5</formula>
    </cfRule>
  </conditionalFormatting>
  <conditionalFormatting sqref="Z33:AA33">
    <cfRule type="expression" priority="1132">
      <formula>WEEKDAY(X$3,2)&gt;5</formula>
    </cfRule>
  </conditionalFormatting>
  <conditionalFormatting sqref="AB33:AF33">
    <cfRule type="expression" priority="950">
      <formula>WEEKDAY(#REF!,2)&gt;5</formula>
    </cfRule>
  </conditionalFormatting>
  <conditionalFormatting sqref="AG33">
    <cfRule type="expression" priority="586">
      <formula>WEEKDAY(AE$3,2)&gt;5</formula>
    </cfRule>
  </conditionalFormatting>
  <conditionalFormatting sqref="AH33">
    <cfRule type="expression" priority="768">
      <formula>WEEKDAY(AF$3,2)&gt;5</formula>
    </cfRule>
  </conditionalFormatting>
  <conditionalFormatting sqref="D34:E34">
    <cfRule type="expression" priority="2769">
      <formula>WEEKDAY(B$3,2)&gt;5</formula>
    </cfRule>
  </conditionalFormatting>
  <conditionalFormatting sqref="F34">
    <cfRule type="expression" priority="2587">
      <formula>WEEKDAY(D$3,2)&gt;5</formula>
    </cfRule>
  </conditionalFormatting>
  <conditionalFormatting sqref="G34">
    <cfRule type="expression" priority="2951">
      <formula>WEEKDAY(E$3,2)&gt;5</formula>
    </cfRule>
  </conditionalFormatting>
  <conditionalFormatting sqref="H34">
    <cfRule type="expression" priority="2405">
      <formula>WEEKDAY(F$3,2)&gt;5</formula>
    </cfRule>
  </conditionalFormatting>
  <conditionalFormatting sqref="I34">
    <cfRule type="expression" priority="65">
      <formula>WEEKDAY(E$3,2)&gt;5</formula>
    </cfRule>
  </conditionalFormatting>
  <conditionalFormatting sqref="J34">
    <cfRule type="expression" priority="2041">
      <formula>WEEKDAY(#REF!,2)&gt;5</formula>
    </cfRule>
  </conditionalFormatting>
  <conditionalFormatting sqref="K34">
    <cfRule type="expression" priority="3315">
      <formula>WEEKDAY(#REF!,2)&gt;5</formula>
    </cfRule>
  </conditionalFormatting>
  <conditionalFormatting sqref="M34">
    <cfRule type="expression" priority="1859">
      <formula>WEEKDAY(K$3,2)&gt;5</formula>
    </cfRule>
  </conditionalFormatting>
  <conditionalFormatting sqref="O34:R34">
    <cfRule type="expression" priority="1677">
      <formula>WEEKDAY(#REF!,2)&gt;5</formula>
    </cfRule>
  </conditionalFormatting>
  <conditionalFormatting sqref="S34:T34">
    <cfRule type="expression" priority="1495">
      <formula>WEEKDAY(Q$3,2)&gt;5</formula>
    </cfRule>
  </conditionalFormatting>
  <conditionalFormatting sqref="U34:Y34">
    <cfRule type="expression" priority="1313">
      <formula>WEEKDAY(#REF!,2)&gt;5</formula>
    </cfRule>
  </conditionalFormatting>
  <conditionalFormatting sqref="X34:Y34">
    <cfRule type="expression" priority="3133">
      <formula>WEEKDAY(#REF!,2)&gt;5</formula>
    </cfRule>
  </conditionalFormatting>
  <conditionalFormatting sqref="Z34:AA34">
    <cfRule type="expression" priority="1131">
      <formula>WEEKDAY(X$3,2)&gt;5</formula>
    </cfRule>
  </conditionalFormatting>
  <conditionalFormatting sqref="AB34:AF34">
    <cfRule type="expression" priority="949">
      <formula>WEEKDAY(#REF!,2)&gt;5</formula>
    </cfRule>
  </conditionalFormatting>
  <conditionalFormatting sqref="AG34">
    <cfRule type="expression" priority="585">
      <formula>WEEKDAY(AE$3,2)&gt;5</formula>
    </cfRule>
  </conditionalFormatting>
  <conditionalFormatting sqref="AH34">
    <cfRule type="expression" priority="767">
      <formula>WEEKDAY(AF$3,2)&gt;5</formula>
    </cfRule>
  </conditionalFormatting>
  <conditionalFormatting sqref="D35:E35">
    <cfRule type="expression" priority="82">
      <formula>WEEKDAY(B$3,2)&gt;5</formula>
    </cfRule>
  </conditionalFormatting>
  <conditionalFormatting sqref="F35">
    <cfRule type="expression" priority="81">
      <formula>WEEKDAY(D$3,2)&gt;5</formula>
    </cfRule>
  </conditionalFormatting>
  <conditionalFormatting sqref="G35">
    <cfRule type="expression" priority="83">
      <formula>WEEKDAY(E$3,2)&gt;5</formula>
    </cfRule>
  </conditionalFormatting>
  <conditionalFormatting sqref="H35">
    <cfRule type="expression" priority="80">
      <formula>WEEKDAY(F$3,2)&gt;5</formula>
    </cfRule>
  </conditionalFormatting>
  <conditionalFormatting sqref="I35:J35">
    <cfRule type="expression" priority="79">
      <formula>WEEKDAY(#REF!,2)&gt;5</formula>
    </cfRule>
  </conditionalFormatting>
  <conditionalFormatting sqref="K35">
    <cfRule type="expression" priority="72">
      <formula>WEEKDAY(#REF!,2)&gt;5</formula>
    </cfRule>
  </conditionalFormatting>
  <conditionalFormatting sqref="L35">
    <cfRule type="expression" priority="77">
      <formula>WEEKDAY(#REF!,2)&gt;5</formula>
    </cfRule>
  </conditionalFormatting>
  <conditionalFormatting sqref="M35">
    <cfRule type="expression" priority="76">
      <formula>WEEKDAY(K$3,2)&gt;5</formula>
    </cfRule>
  </conditionalFormatting>
  <conditionalFormatting sqref="N35">
    <cfRule type="expression" priority="71">
      <formula>WEEKDAY(#REF!,2)&gt;5</formula>
    </cfRule>
  </conditionalFormatting>
  <conditionalFormatting sqref="O35:R35">
    <cfRule type="expression" priority="75">
      <formula>WEEKDAY(#REF!,2)&gt;5</formula>
    </cfRule>
  </conditionalFormatting>
  <conditionalFormatting sqref="S35:T35">
    <cfRule type="expression" priority="74">
      <formula>WEEKDAY(Q$3,2)&gt;5</formula>
    </cfRule>
  </conditionalFormatting>
  <conditionalFormatting sqref="U35:W35">
    <cfRule type="expression" priority="73">
      <formula>WEEKDAY(#REF!,2)&gt;5</formula>
    </cfRule>
  </conditionalFormatting>
  <conditionalFormatting sqref="X35">
    <cfRule type="expression" priority="69">
      <formula>WEEKDAY(#REF!,2)&gt;5</formula>
    </cfRule>
  </conditionalFormatting>
  <conditionalFormatting sqref="Y35">
    <cfRule type="expression" priority="70">
      <formula>WEEKDAY(#REF!,2)&gt;5</formula>
    </cfRule>
  </conditionalFormatting>
  <conditionalFormatting sqref="Z35:AA35">
    <cfRule type="expression" priority="68">
      <formula>WEEKDAY(X$3,2)&gt;5</formula>
    </cfRule>
  </conditionalFormatting>
  <conditionalFormatting sqref="AB35">
    <cfRule type="expression" priority="67">
      <formula>WEEKDAY(#REF!,2)&gt;5</formula>
    </cfRule>
  </conditionalFormatting>
  <conditionalFormatting sqref="AC35">
    <cfRule type="expression" priority="66">
      <formula>WEEKDAY(#REF!,2)&gt;5</formula>
    </cfRule>
  </conditionalFormatting>
  <conditionalFormatting sqref="AD35:AH35">
    <cfRule type="expression" priority="78">
      <formula>WEEKDAY(#REF!,2)&gt;5</formula>
    </cfRule>
  </conditionalFormatting>
  <conditionalFormatting sqref="D36:E36">
    <cfRule type="expression" priority="2767">
      <formula>WEEKDAY(B$3,2)&gt;5</formula>
    </cfRule>
  </conditionalFormatting>
  <conditionalFormatting sqref="F36">
    <cfRule type="expression" priority="2585">
      <formula>WEEKDAY(D$3,2)&gt;5</formula>
    </cfRule>
  </conditionalFormatting>
  <conditionalFormatting sqref="G36">
    <cfRule type="expression" priority="2949">
      <formula>WEEKDAY(E$3,2)&gt;5</formula>
    </cfRule>
  </conditionalFormatting>
  <conditionalFormatting sqref="H36">
    <cfRule type="expression" priority="2403">
      <formula>WEEKDAY(F$3,2)&gt;5</formula>
    </cfRule>
  </conditionalFormatting>
  <conditionalFormatting sqref="I36">
    <cfRule type="expression" priority="2221">
      <formula>WEEKDAY(#REF!,2)&gt;5</formula>
    </cfRule>
  </conditionalFormatting>
  <conditionalFormatting sqref="J36">
    <cfRule type="expression" priority="2039">
      <formula>WEEKDAY(#REF!,2)&gt;5</formula>
    </cfRule>
  </conditionalFormatting>
  <conditionalFormatting sqref="K36">
    <cfRule type="expression" priority="3313">
      <formula>WEEKDAY(#REF!,2)&gt;5</formula>
    </cfRule>
  </conditionalFormatting>
  <conditionalFormatting sqref="M36">
    <cfRule type="expression" priority="1857">
      <formula>WEEKDAY(K$3,2)&gt;5</formula>
    </cfRule>
  </conditionalFormatting>
  <conditionalFormatting sqref="O36:R36">
    <cfRule type="expression" priority="1675">
      <formula>WEEKDAY(#REF!,2)&gt;5</formula>
    </cfRule>
  </conditionalFormatting>
  <conditionalFormatting sqref="S36:T36">
    <cfRule type="expression" priority="1493">
      <formula>WEEKDAY(Q$3,2)&gt;5</formula>
    </cfRule>
  </conditionalFormatting>
  <conditionalFormatting sqref="U36:Y36">
    <cfRule type="expression" priority="1311">
      <formula>WEEKDAY(#REF!,2)&gt;5</formula>
    </cfRule>
  </conditionalFormatting>
  <conditionalFormatting sqref="X36:Y36">
    <cfRule type="expression" priority="3131">
      <formula>WEEKDAY(#REF!,2)&gt;5</formula>
    </cfRule>
  </conditionalFormatting>
  <conditionalFormatting sqref="Z36:AA36">
    <cfRule type="expression" priority="1129">
      <formula>WEEKDAY(X$3,2)&gt;5</formula>
    </cfRule>
  </conditionalFormatting>
  <conditionalFormatting sqref="AB36:AF36">
    <cfRule type="expression" priority="947">
      <formula>WEEKDAY(#REF!,2)&gt;5</formula>
    </cfRule>
  </conditionalFormatting>
  <conditionalFormatting sqref="AG36">
    <cfRule type="expression" priority="583">
      <formula>WEEKDAY(AE$3,2)&gt;5</formula>
    </cfRule>
  </conditionalFormatting>
  <conditionalFormatting sqref="AH36">
    <cfRule type="expression" priority="765">
      <formula>WEEKDAY(AF$3,2)&gt;5</formula>
    </cfRule>
  </conditionalFormatting>
  <conditionalFormatting sqref="D37:E37">
    <cfRule type="expression" priority="2766">
      <formula>WEEKDAY(B$3,2)&gt;5</formula>
    </cfRule>
  </conditionalFormatting>
  <conditionalFormatting sqref="F37">
    <cfRule type="expression" priority="2584">
      <formula>WEEKDAY(D$3,2)&gt;5</formula>
    </cfRule>
  </conditionalFormatting>
  <conditionalFormatting sqref="G37">
    <cfRule type="expression" priority="2948">
      <formula>WEEKDAY(E$3,2)&gt;5</formula>
    </cfRule>
  </conditionalFormatting>
  <conditionalFormatting sqref="H37">
    <cfRule type="expression" priority="2402">
      <formula>WEEKDAY(F$3,2)&gt;5</formula>
    </cfRule>
  </conditionalFormatting>
  <conditionalFormatting sqref="I37">
    <cfRule type="expression" priority="2220">
      <formula>WEEKDAY(#REF!,2)&gt;5</formula>
    </cfRule>
  </conditionalFormatting>
  <conditionalFormatting sqref="J37">
    <cfRule type="expression" priority="19">
      <formula>WEEKDAY(F$3,2)&gt;5</formula>
    </cfRule>
  </conditionalFormatting>
  <conditionalFormatting sqref="K37">
    <cfRule type="expression" priority="3312">
      <formula>WEEKDAY(#REF!,2)&gt;5</formula>
    </cfRule>
  </conditionalFormatting>
  <conditionalFormatting sqref="M37">
    <cfRule type="expression" priority="1856">
      <formula>WEEKDAY(K$3,2)&gt;5</formula>
    </cfRule>
  </conditionalFormatting>
  <conditionalFormatting sqref="O37:R37">
    <cfRule type="expression" priority="1674">
      <formula>WEEKDAY(#REF!,2)&gt;5</formula>
    </cfRule>
  </conditionalFormatting>
  <conditionalFormatting sqref="S37:T37">
    <cfRule type="expression" priority="1492">
      <formula>WEEKDAY(Q$3,2)&gt;5</formula>
    </cfRule>
  </conditionalFormatting>
  <conditionalFormatting sqref="U37:Y37">
    <cfRule type="expression" priority="1310">
      <formula>WEEKDAY(#REF!,2)&gt;5</formula>
    </cfRule>
  </conditionalFormatting>
  <conditionalFormatting sqref="X37:Y37">
    <cfRule type="expression" priority="3130">
      <formula>WEEKDAY(#REF!,2)&gt;5</formula>
    </cfRule>
  </conditionalFormatting>
  <conditionalFormatting sqref="Z37:AA37">
    <cfRule type="expression" priority="1128">
      <formula>WEEKDAY(X$3,2)&gt;5</formula>
    </cfRule>
  </conditionalFormatting>
  <conditionalFormatting sqref="AB37:AF37">
    <cfRule type="expression" priority="946">
      <formula>WEEKDAY(#REF!,2)&gt;5</formula>
    </cfRule>
  </conditionalFormatting>
  <conditionalFormatting sqref="AG37">
    <cfRule type="expression" priority="582">
      <formula>WEEKDAY(AE$3,2)&gt;5</formula>
    </cfRule>
  </conditionalFormatting>
  <conditionalFormatting sqref="AH37">
    <cfRule type="expression" priority="764">
      <formula>WEEKDAY(AF$3,2)&gt;5</formula>
    </cfRule>
  </conditionalFormatting>
  <conditionalFormatting sqref="D38:E38">
    <cfRule type="expression" priority="2765">
      <formula>WEEKDAY(B$3,2)&gt;5</formula>
    </cfRule>
  </conditionalFormatting>
  <conditionalFormatting sqref="F38">
    <cfRule type="expression" priority="2583">
      <formula>WEEKDAY(D$3,2)&gt;5</formula>
    </cfRule>
  </conditionalFormatting>
  <conditionalFormatting sqref="G38">
    <cfRule type="expression" priority="2947">
      <formula>WEEKDAY(E$3,2)&gt;5</formula>
    </cfRule>
  </conditionalFormatting>
  <conditionalFormatting sqref="H38">
    <cfRule type="expression" priority="2401">
      <formula>WEEKDAY(F$3,2)&gt;5</formula>
    </cfRule>
  </conditionalFormatting>
  <conditionalFormatting sqref="I38">
    <cfRule type="expression" priority="403">
      <formula>WEEKDAY(#REF!,2)&gt;5</formula>
    </cfRule>
  </conditionalFormatting>
  <conditionalFormatting sqref="J38">
    <cfRule type="expression" priority="2037">
      <formula>WEEKDAY(#REF!,2)&gt;5</formula>
    </cfRule>
  </conditionalFormatting>
  <conditionalFormatting sqref="K38">
    <cfRule type="expression" priority="3311">
      <formula>WEEKDAY(#REF!,2)&gt;5</formula>
    </cfRule>
  </conditionalFormatting>
  <conditionalFormatting sqref="M38">
    <cfRule type="expression" priority="1855">
      <formula>WEEKDAY(K$3,2)&gt;5</formula>
    </cfRule>
  </conditionalFormatting>
  <conditionalFormatting sqref="O38:R38">
    <cfRule type="expression" priority="1673">
      <formula>WEEKDAY(#REF!,2)&gt;5</formula>
    </cfRule>
  </conditionalFormatting>
  <conditionalFormatting sqref="S38:T38">
    <cfRule type="expression" priority="1491">
      <formula>WEEKDAY(Q$3,2)&gt;5</formula>
    </cfRule>
  </conditionalFormatting>
  <conditionalFormatting sqref="U38:Y38">
    <cfRule type="expression" priority="1309">
      <formula>WEEKDAY(#REF!,2)&gt;5</formula>
    </cfRule>
  </conditionalFormatting>
  <conditionalFormatting sqref="X38:Y38">
    <cfRule type="expression" priority="3129">
      <formula>WEEKDAY(#REF!,2)&gt;5</formula>
    </cfRule>
  </conditionalFormatting>
  <conditionalFormatting sqref="Z38:AA38">
    <cfRule type="expression" priority="1127">
      <formula>WEEKDAY(X$3,2)&gt;5</formula>
    </cfRule>
  </conditionalFormatting>
  <conditionalFormatting sqref="AB38:AF38">
    <cfRule type="expression" priority="945">
      <formula>WEEKDAY(#REF!,2)&gt;5</formula>
    </cfRule>
  </conditionalFormatting>
  <conditionalFormatting sqref="AG38">
    <cfRule type="expression" priority="581">
      <formula>WEEKDAY(AE$3,2)&gt;5</formula>
    </cfRule>
  </conditionalFormatting>
  <conditionalFormatting sqref="AH38">
    <cfRule type="expression" priority="763">
      <formula>WEEKDAY(AF$3,2)&gt;5</formula>
    </cfRule>
  </conditionalFormatting>
  <conditionalFormatting sqref="D39:E39">
    <cfRule type="expression" priority="2764">
      <formula>WEEKDAY(B$3,2)&gt;5</formula>
    </cfRule>
  </conditionalFormatting>
  <conditionalFormatting sqref="F39">
    <cfRule type="expression" priority="2582">
      <formula>WEEKDAY(D$3,2)&gt;5</formula>
    </cfRule>
  </conditionalFormatting>
  <conditionalFormatting sqref="G39">
    <cfRule type="expression" priority="2946">
      <formula>WEEKDAY(E$3,2)&gt;5</formula>
    </cfRule>
  </conditionalFormatting>
  <conditionalFormatting sqref="H39">
    <cfRule type="expression" priority="2400">
      <formula>WEEKDAY(F$3,2)&gt;5</formula>
    </cfRule>
  </conditionalFormatting>
  <conditionalFormatting sqref="I39">
    <cfRule type="expression" priority="2218">
      <formula>WEEKDAY(#REF!,2)&gt;5</formula>
    </cfRule>
  </conditionalFormatting>
  <conditionalFormatting sqref="J39">
    <cfRule type="expression" priority="2036">
      <formula>WEEKDAY(#REF!,2)&gt;5</formula>
    </cfRule>
  </conditionalFormatting>
  <conditionalFormatting sqref="K39">
    <cfRule type="expression" priority="3310">
      <formula>WEEKDAY(#REF!,2)&gt;5</formula>
    </cfRule>
  </conditionalFormatting>
  <conditionalFormatting sqref="M39">
    <cfRule type="expression" priority="1854">
      <formula>WEEKDAY(K$3,2)&gt;5</formula>
    </cfRule>
  </conditionalFormatting>
  <conditionalFormatting sqref="O39:R39">
    <cfRule type="expression" priority="1672">
      <formula>WEEKDAY(#REF!,2)&gt;5</formula>
    </cfRule>
  </conditionalFormatting>
  <conditionalFormatting sqref="S39:T39">
    <cfRule type="expression" priority="1490">
      <formula>WEEKDAY(Q$3,2)&gt;5</formula>
    </cfRule>
  </conditionalFormatting>
  <conditionalFormatting sqref="U39:Y39">
    <cfRule type="expression" priority="1308">
      <formula>WEEKDAY(#REF!,2)&gt;5</formula>
    </cfRule>
  </conditionalFormatting>
  <conditionalFormatting sqref="X39:Y39">
    <cfRule type="expression" priority="3128">
      <formula>WEEKDAY(#REF!,2)&gt;5</formula>
    </cfRule>
  </conditionalFormatting>
  <conditionalFormatting sqref="Z39:AA39">
    <cfRule type="expression" priority="1126">
      <formula>WEEKDAY(X$3,2)&gt;5</formula>
    </cfRule>
  </conditionalFormatting>
  <conditionalFormatting sqref="AB39:AF39">
    <cfRule type="expression" priority="944">
      <formula>WEEKDAY(#REF!,2)&gt;5</formula>
    </cfRule>
  </conditionalFormatting>
  <conditionalFormatting sqref="AG39">
    <cfRule type="expression" priority="580">
      <formula>WEEKDAY(AE$3,2)&gt;5</formula>
    </cfRule>
  </conditionalFormatting>
  <conditionalFormatting sqref="AH39">
    <cfRule type="expression" priority="762">
      <formula>WEEKDAY(AF$3,2)&gt;5</formula>
    </cfRule>
  </conditionalFormatting>
  <conditionalFormatting sqref="B40">
    <cfRule type="duplicateValues" dxfId="1" priority="15514"/>
  </conditionalFormatting>
  <conditionalFormatting sqref="D40:E40">
    <cfRule type="expression" priority="2763">
      <formula>WEEKDAY(B$3,2)&gt;5</formula>
    </cfRule>
  </conditionalFormatting>
  <conditionalFormatting sqref="F40">
    <cfRule type="expression" priority="2581">
      <formula>WEEKDAY(D$3,2)&gt;5</formula>
    </cfRule>
  </conditionalFormatting>
  <conditionalFormatting sqref="G40">
    <cfRule type="expression" priority="2945">
      <formula>WEEKDAY(E$3,2)&gt;5</formula>
    </cfRule>
  </conditionalFormatting>
  <conditionalFormatting sqref="H40">
    <cfRule type="expression" priority="2399">
      <formula>WEEKDAY(F$3,2)&gt;5</formula>
    </cfRule>
  </conditionalFormatting>
  <conditionalFormatting sqref="I40">
    <cfRule type="expression" priority="2217">
      <formula>WEEKDAY(#REF!,2)&gt;5</formula>
    </cfRule>
  </conditionalFormatting>
  <conditionalFormatting sqref="J40">
    <cfRule type="expression" priority="2035">
      <formula>WEEKDAY(#REF!,2)&gt;5</formula>
    </cfRule>
  </conditionalFormatting>
  <conditionalFormatting sqref="K40">
    <cfRule type="expression" priority="3309">
      <formula>WEEKDAY(#REF!,2)&gt;5</formula>
    </cfRule>
  </conditionalFormatting>
  <conditionalFormatting sqref="M40">
    <cfRule type="expression" priority="1853">
      <formula>WEEKDAY(K$3,2)&gt;5</formula>
    </cfRule>
  </conditionalFormatting>
  <conditionalFormatting sqref="O40:R40">
    <cfRule type="expression" priority="1671">
      <formula>WEEKDAY(#REF!,2)&gt;5</formula>
    </cfRule>
  </conditionalFormatting>
  <conditionalFormatting sqref="S40:T40">
    <cfRule type="expression" priority="1489">
      <formula>WEEKDAY(Q$3,2)&gt;5</formula>
    </cfRule>
  </conditionalFormatting>
  <conditionalFormatting sqref="U40:Y40">
    <cfRule type="expression" priority="1307">
      <formula>WEEKDAY(#REF!,2)&gt;5</formula>
    </cfRule>
  </conditionalFormatting>
  <conditionalFormatting sqref="X40:Y40">
    <cfRule type="expression" priority="3127">
      <formula>WEEKDAY(#REF!,2)&gt;5</formula>
    </cfRule>
  </conditionalFormatting>
  <conditionalFormatting sqref="Z40:AA40">
    <cfRule type="expression" priority="1125">
      <formula>WEEKDAY(X$3,2)&gt;5</formula>
    </cfRule>
  </conditionalFormatting>
  <conditionalFormatting sqref="AB40:AF40">
    <cfRule type="expression" priority="943">
      <formula>WEEKDAY(#REF!,2)&gt;5</formula>
    </cfRule>
  </conditionalFormatting>
  <conditionalFormatting sqref="AG40">
    <cfRule type="expression" priority="579">
      <formula>WEEKDAY(AE$3,2)&gt;5</formula>
    </cfRule>
  </conditionalFormatting>
  <conditionalFormatting sqref="AH40">
    <cfRule type="expression" priority="761">
      <formula>WEEKDAY(AF$3,2)&gt;5</formula>
    </cfRule>
  </conditionalFormatting>
  <conditionalFormatting sqref="D41:E41">
    <cfRule type="expression" priority="2762">
      <formula>WEEKDAY(B$3,2)&gt;5</formula>
    </cfRule>
  </conditionalFormatting>
  <conditionalFormatting sqref="F41">
    <cfRule type="expression" priority="2580">
      <formula>WEEKDAY(D$3,2)&gt;5</formula>
    </cfRule>
  </conditionalFormatting>
  <conditionalFormatting sqref="G41">
    <cfRule type="expression" priority="2944">
      <formula>WEEKDAY(E$3,2)&gt;5</formula>
    </cfRule>
  </conditionalFormatting>
  <conditionalFormatting sqref="H41">
    <cfRule type="expression" priority="2398">
      <formula>WEEKDAY(F$3,2)&gt;5</formula>
    </cfRule>
  </conditionalFormatting>
  <conditionalFormatting sqref="I41">
    <cfRule type="expression" priority="2216">
      <formula>WEEKDAY(#REF!,2)&gt;5</formula>
    </cfRule>
  </conditionalFormatting>
  <conditionalFormatting sqref="J41">
    <cfRule type="expression" priority="2034">
      <formula>WEEKDAY(#REF!,2)&gt;5</formula>
    </cfRule>
  </conditionalFormatting>
  <conditionalFormatting sqref="K41">
    <cfRule type="expression" priority="3308">
      <formula>WEEKDAY(#REF!,2)&gt;5</formula>
    </cfRule>
  </conditionalFormatting>
  <conditionalFormatting sqref="M41">
    <cfRule type="expression" priority="1852">
      <formula>WEEKDAY(K$3,2)&gt;5</formula>
    </cfRule>
  </conditionalFormatting>
  <conditionalFormatting sqref="O41:R41">
    <cfRule type="expression" priority="1670">
      <formula>WEEKDAY(#REF!,2)&gt;5</formula>
    </cfRule>
  </conditionalFormatting>
  <conditionalFormatting sqref="S41:T41">
    <cfRule type="expression" priority="1488">
      <formula>WEEKDAY(Q$3,2)&gt;5</formula>
    </cfRule>
  </conditionalFormatting>
  <conditionalFormatting sqref="U41:Y41">
    <cfRule type="expression" priority="1306">
      <formula>WEEKDAY(#REF!,2)&gt;5</formula>
    </cfRule>
  </conditionalFormatting>
  <conditionalFormatting sqref="X41:Y41">
    <cfRule type="expression" priority="3126">
      <formula>WEEKDAY(#REF!,2)&gt;5</formula>
    </cfRule>
  </conditionalFormatting>
  <conditionalFormatting sqref="Z41:AA41">
    <cfRule type="expression" priority="1124">
      <formula>WEEKDAY(X$3,2)&gt;5</formula>
    </cfRule>
  </conditionalFormatting>
  <conditionalFormatting sqref="AB41:AF41">
    <cfRule type="expression" priority="942">
      <formula>WEEKDAY(#REF!,2)&gt;5</formula>
    </cfRule>
  </conditionalFormatting>
  <conditionalFormatting sqref="AG41">
    <cfRule type="expression" priority="578">
      <formula>WEEKDAY(AE$3,2)&gt;5</formula>
    </cfRule>
  </conditionalFormatting>
  <conditionalFormatting sqref="AH41">
    <cfRule type="expression" priority="760">
      <formula>WEEKDAY(AF$3,2)&gt;5</formula>
    </cfRule>
  </conditionalFormatting>
  <conditionalFormatting sqref="D42:E42">
    <cfRule type="expression" priority="2761">
      <formula>WEEKDAY(B$3,2)&gt;5</formula>
    </cfRule>
  </conditionalFormatting>
  <conditionalFormatting sqref="F42">
    <cfRule type="expression" priority="2579">
      <formula>WEEKDAY(D$3,2)&gt;5</formula>
    </cfRule>
  </conditionalFormatting>
  <conditionalFormatting sqref="G42">
    <cfRule type="expression" priority="2943">
      <formula>WEEKDAY(E$3,2)&gt;5</formula>
    </cfRule>
  </conditionalFormatting>
  <conditionalFormatting sqref="H42">
    <cfRule type="expression" priority="2397">
      <formula>WEEKDAY(F$3,2)&gt;5</formula>
    </cfRule>
  </conditionalFormatting>
  <conditionalFormatting sqref="I42">
    <cfRule type="expression" priority="2215">
      <formula>WEEKDAY(#REF!,2)&gt;5</formula>
    </cfRule>
  </conditionalFormatting>
  <conditionalFormatting sqref="J42">
    <cfRule type="expression" priority="2033">
      <formula>WEEKDAY(#REF!,2)&gt;5</formula>
    </cfRule>
  </conditionalFormatting>
  <conditionalFormatting sqref="K42">
    <cfRule type="expression" priority="3307">
      <formula>WEEKDAY(#REF!,2)&gt;5</formula>
    </cfRule>
  </conditionalFormatting>
  <conditionalFormatting sqref="L42">
    <cfRule type="expression" priority="3489">
      <formula>WEEKDAY(#REF!,2)&gt;5</formula>
    </cfRule>
  </conditionalFormatting>
  <conditionalFormatting sqref="M42">
    <cfRule type="expression" priority="1851">
      <formula>WEEKDAY(K$3,2)&gt;5</formula>
    </cfRule>
  </conditionalFormatting>
  <conditionalFormatting sqref="N42">
    <cfRule type="expression" priority="410">
      <formula>WEEKDAY(#REF!,2)&gt;5</formula>
    </cfRule>
  </conditionalFormatting>
  <conditionalFormatting sqref="O42">
    <cfRule type="expression" priority="1669">
      <formula>WEEKDAY(#REF!,2)&gt;5</formula>
    </cfRule>
  </conditionalFormatting>
  <conditionalFormatting sqref="P42:R42">
    <cfRule type="expression" priority="409">
      <formula>WEEKDAY(#REF!,2)&gt;5</formula>
    </cfRule>
  </conditionalFormatting>
  <conditionalFormatting sqref="S42:T42">
    <cfRule type="expression" priority="1487">
      <formula>WEEKDAY(Q$3,2)&gt;5</formula>
    </cfRule>
  </conditionalFormatting>
  <conditionalFormatting sqref="U42:Y42">
    <cfRule type="expression" priority="408">
      <formula>WEEKDAY(#REF!,2)&gt;5</formula>
    </cfRule>
  </conditionalFormatting>
  <conditionalFormatting sqref="Z42:AA42">
    <cfRule type="expression" priority="1123">
      <formula>WEEKDAY(X$3,2)&gt;5</formula>
    </cfRule>
  </conditionalFormatting>
  <conditionalFormatting sqref="AB42:AF42">
    <cfRule type="expression" priority="407">
      <formula>WEEKDAY(#REF!,2)&gt;5</formula>
    </cfRule>
  </conditionalFormatting>
  <conditionalFormatting sqref="AG42">
    <cfRule type="expression" priority="577">
      <formula>WEEKDAY(AE$3,2)&gt;5</formula>
    </cfRule>
  </conditionalFormatting>
  <conditionalFormatting sqref="AH42">
    <cfRule type="expression" priority="759">
      <formula>WEEKDAY(AF$3,2)&gt;5</formula>
    </cfRule>
  </conditionalFormatting>
  <conditionalFormatting sqref="D43:E43">
    <cfRule type="expression" priority="2760">
      <formula>WEEKDAY(B$3,2)&gt;5</formula>
    </cfRule>
  </conditionalFormatting>
  <conditionalFormatting sqref="F43">
    <cfRule type="expression" priority="2578">
      <formula>WEEKDAY(D$3,2)&gt;5</formula>
    </cfRule>
  </conditionalFormatting>
  <conditionalFormatting sqref="G43">
    <cfRule type="expression" priority="2942">
      <formula>WEEKDAY(E$3,2)&gt;5</formula>
    </cfRule>
  </conditionalFormatting>
  <conditionalFormatting sqref="H43">
    <cfRule type="expression" priority="2396">
      <formula>WEEKDAY(F$3,2)&gt;5</formula>
    </cfRule>
  </conditionalFormatting>
  <conditionalFormatting sqref="I43">
    <cfRule type="expression" priority="2214">
      <formula>WEEKDAY(#REF!,2)&gt;5</formula>
    </cfRule>
  </conditionalFormatting>
  <conditionalFormatting sqref="J43">
    <cfRule type="expression" priority="2032">
      <formula>WEEKDAY(#REF!,2)&gt;5</formula>
    </cfRule>
  </conditionalFormatting>
  <conditionalFormatting sqref="K43">
    <cfRule type="expression" priority="3306">
      <formula>WEEKDAY(#REF!,2)&gt;5</formula>
    </cfRule>
  </conditionalFormatting>
  <conditionalFormatting sqref="L43">
    <cfRule type="expression" priority="3488">
      <formula>WEEKDAY(#REF!,2)&gt;5</formula>
    </cfRule>
  </conditionalFormatting>
  <conditionalFormatting sqref="M43">
    <cfRule type="expression" priority="1850">
      <formula>WEEKDAY(K$3,2)&gt;5</formula>
    </cfRule>
  </conditionalFormatting>
  <conditionalFormatting sqref="N43:R43">
    <cfRule type="expression" priority="406">
      <formula>WEEKDAY(#REF!,2)&gt;5</formula>
    </cfRule>
  </conditionalFormatting>
  <conditionalFormatting sqref="S43:T43">
    <cfRule type="expression" priority="1486">
      <formula>WEEKDAY(Q$3,2)&gt;5</formula>
    </cfRule>
  </conditionalFormatting>
  <conditionalFormatting sqref="U43:Y43">
    <cfRule type="expression" priority="405">
      <formula>WEEKDAY(#REF!,2)&gt;5</formula>
    </cfRule>
  </conditionalFormatting>
  <conditionalFormatting sqref="Z43:AA43">
    <cfRule type="expression" priority="1122">
      <formula>WEEKDAY(X$3,2)&gt;5</formula>
    </cfRule>
  </conditionalFormatting>
  <conditionalFormatting sqref="AB43:AF43">
    <cfRule type="expression" priority="404">
      <formula>WEEKDAY(#REF!,2)&gt;5</formula>
    </cfRule>
  </conditionalFormatting>
  <conditionalFormatting sqref="AG43">
    <cfRule type="expression" priority="576">
      <formula>WEEKDAY(AE$3,2)&gt;5</formula>
    </cfRule>
  </conditionalFormatting>
  <conditionalFormatting sqref="AH43">
    <cfRule type="expression" priority="758">
      <formula>WEEKDAY(AF$3,2)&gt;5</formula>
    </cfRule>
  </conditionalFormatting>
  <conditionalFormatting sqref="D44:E44">
    <cfRule type="expression" priority="2759">
      <formula>WEEKDAY(B$3,2)&gt;5</formula>
    </cfRule>
  </conditionalFormatting>
  <conditionalFormatting sqref="F44">
    <cfRule type="expression" priority="2577">
      <formula>WEEKDAY(D$3,2)&gt;5</formula>
    </cfRule>
  </conditionalFormatting>
  <conditionalFormatting sqref="G44">
    <cfRule type="expression" priority="2941">
      <formula>WEEKDAY(E$3,2)&gt;5</formula>
    </cfRule>
  </conditionalFormatting>
  <conditionalFormatting sqref="H44">
    <cfRule type="expression" priority="2395">
      <formula>WEEKDAY(F$3,2)&gt;5</formula>
    </cfRule>
  </conditionalFormatting>
  <conditionalFormatting sqref="I44">
    <cfRule type="expression" priority="2213">
      <formula>WEEKDAY(#REF!,2)&gt;5</formula>
    </cfRule>
  </conditionalFormatting>
  <conditionalFormatting sqref="J44">
    <cfRule type="expression" priority="2031">
      <formula>WEEKDAY(#REF!,2)&gt;5</formula>
    </cfRule>
  </conditionalFormatting>
  <conditionalFormatting sqref="K44">
    <cfRule type="expression" priority="3305">
      <formula>WEEKDAY(#REF!,2)&gt;5</formula>
    </cfRule>
  </conditionalFormatting>
  <conditionalFormatting sqref="M44">
    <cfRule type="expression" priority="1849">
      <formula>WEEKDAY(K$3,2)&gt;5</formula>
    </cfRule>
  </conditionalFormatting>
  <conditionalFormatting sqref="O44:R44">
    <cfRule type="expression" priority="1667">
      <formula>WEEKDAY(#REF!,2)&gt;5</formula>
    </cfRule>
  </conditionalFormatting>
  <conditionalFormatting sqref="S44:T44">
    <cfRule type="expression" priority="1485">
      <formula>WEEKDAY(Q$3,2)&gt;5</formula>
    </cfRule>
  </conditionalFormatting>
  <conditionalFormatting sqref="U44:Y44">
    <cfRule type="expression" priority="1303">
      <formula>WEEKDAY(#REF!,2)&gt;5</formula>
    </cfRule>
  </conditionalFormatting>
  <conditionalFormatting sqref="X44:Y44">
    <cfRule type="expression" priority="3123">
      <formula>WEEKDAY(#REF!,2)&gt;5</formula>
    </cfRule>
  </conditionalFormatting>
  <conditionalFormatting sqref="Z44:AA44">
    <cfRule type="expression" priority="1121">
      <formula>WEEKDAY(X$3,2)&gt;5</formula>
    </cfRule>
  </conditionalFormatting>
  <conditionalFormatting sqref="AB44:AF44">
    <cfRule type="expression" priority="939">
      <formula>WEEKDAY(#REF!,2)&gt;5</formula>
    </cfRule>
  </conditionalFormatting>
  <conditionalFormatting sqref="AG44">
    <cfRule type="expression" priority="575">
      <formula>WEEKDAY(AE$3,2)&gt;5</formula>
    </cfRule>
  </conditionalFormatting>
  <conditionalFormatting sqref="AH44">
    <cfRule type="expression" priority="757">
      <formula>WEEKDAY(AF$3,2)&gt;5</formula>
    </cfRule>
  </conditionalFormatting>
  <conditionalFormatting sqref="D45:E45">
    <cfRule type="expression" priority="2758">
      <formula>WEEKDAY(B$3,2)&gt;5</formula>
    </cfRule>
  </conditionalFormatting>
  <conditionalFormatting sqref="F45">
    <cfRule type="expression" priority="2576">
      <formula>WEEKDAY(D$3,2)&gt;5</formula>
    </cfRule>
  </conditionalFormatting>
  <conditionalFormatting sqref="G45">
    <cfRule type="expression" priority="2940">
      <formula>WEEKDAY(E$3,2)&gt;5</formula>
    </cfRule>
  </conditionalFormatting>
  <conditionalFormatting sqref="H45">
    <cfRule type="expression" priority="2394">
      <formula>WEEKDAY(F$3,2)&gt;5</formula>
    </cfRule>
  </conditionalFormatting>
  <conditionalFormatting sqref="I45">
    <cfRule type="expression" priority="2212">
      <formula>WEEKDAY(#REF!,2)&gt;5</formula>
    </cfRule>
  </conditionalFormatting>
  <conditionalFormatting sqref="J45">
    <cfRule type="expression" priority="2030">
      <formula>WEEKDAY(#REF!,2)&gt;5</formula>
    </cfRule>
  </conditionalFormatting>
  <conditionalFormatting sqref="K45">
    <cfRule type="expression" priority="3304">
      <formula>WEEKDAY(#REF!,2)&gt;5</formula>
    </cfRule>
  </conditionalFormatting>
  <conditionalFormatting sqref="M45">
    <cfRule type="expression" priority="1848">
      <formula>WEEKDAY(K$3,2)&gt;5</formula>
    </cfRule>
  </conditionalFormatting>
  <conditionalFormatting sqref="O45:R45">
    <cfRule type="expression" priority="1666">
      <formula>WEEKDAY(#REF!,2)&gt;5</formula>
    </cfRule>
  </conditionalFormatting>
  <conditionalFormatting sqref="S45:T45">
    <cfRule type="expression" priority="1484">
      <formula>WEEKDAY(Q$3,2)&gt;5</formula>
    </cfRule>
  </conditionalFormatting>
  <conditionalFormatting sqref="U45:Y45">
    <cfRule type="expression" priority="1302">
      <formula>WEEKDAY(#REF!,2)&gt;5</formula>
    </cfRule>
  </conditionalFormatting>
  <conditionalFormatting sqref="X45:Y45">
    <cfRule type="expression" priority="3122">
      <formula>WEEKDAY(#REF!,2)&gt;5</formula>
    </cfRule>
  </conditionalFormatting>
  <conditionalFormatting sqref="Z45:AA45">
    <cfRule type="expression" priority="1120">
      <formula>WEEKDAY(X$3,2)&gt;5</formula>
    </cfRule>
  </conditionalFormatting>
  <conditionalFormatting sqref="AB45:AF45">
    <cfRule type="expression" priority="938">
      <formula>WEEKDAY(#REF!,2)&gt;5</formula>
    </cfRule>
  </conditionalFormatting>
  <conditionalFormatting sqref="AG45">
    <cfRule type="expression" priority="574">
      <formula>WEEKDAY(AE$3,2)&gt;5</formula>
    </cfRule>
  </conditionalFormatting>
  <conditionalFormatting sqref="AH45">
    <cfRule type="expression" priority="756">
      <formula>WEEKDAY(AF$3,2)&gt;5</formula>
    </cfRule>
  </conditionalFormatting>
  <conditionalFormatting sqref="F46">
    <cfRule type="expression" priority="2575">
      <formula>WEEKDAY(D$3,2)&gt;5</formula>
    </cfRule>
  </conditionalFormatting>
  <conditionalFormatting sqref="G46">
    <cfRule type="expression" priority="2939">
      <formula>WEEKDAY(E$3,2)&gt;5</formula>
    </cfRule>
  </conditionalFormatting>
  <conditionalFormatting sqref="H46">
    <cfRule type="expression" priority="2393">
      <formula>WEEKDAY(F$3,2)&gt;5</formula>
    </cfRule>
  </conditionalFormatting>
  <conditionalFormatting sqref="E47:H47">
    <cfRule type="expression" priority="123">
      <formula>WEEKDAY(C$3,2)&gt;5</formula>
    </cfRule>
  </conditionalFormatting>
  <conditionalFormatting sqref="D48:E48">
    <cfRule type="expression" priority="2756">
      <formula>WEEKDAY(B$3,2)&gt;5</formula>
    </cfRule>
  </conditionalFormatting>
  <conditionalFormatting sqref="F48">
    <cfRule type="expression" priority="2574">
      <formula>WEEKDAY(D$3,2)&gt;5</formula>
    </cfRule>
  </conditionalFormatting>
  <conditionalFormatting sqref="G48">
    <cfRule type="expression" priority="2938">
      <formula>WEEKDAY(E$3,2)&gt;5</formula>
    </cfRule>
  </conditionalFormatting>
  <conditionalFormatting sqref="H48">
    <cfRule type="expression" priority="2392">
      <formula>WEEKDAY(F$3,2)&gt;5</formula>
    </cfRule>
  </conditionalFormatting>
  <conditionalFormatting sqref="I48">
    <cfRule type="expression" priority="2210">
      <formula>WEEKDAY(#REF!,2)&gt;5</formula>
    </cfRule>
  </conditionalFormatting>
  <conditionalFormatting sqref="J48">
    <cfRule type="expression" priority="2028">
      <formula>WEEKDAY(#REF!,2)&gt;5</formula>
    </cfRule>
  </conditionalFormatting>
  <conditionalFormatting sqref="K48">
    <cfRule type="expression" priority="3302">
      <formula>WEEKDAY(#REF!,2)&gt;5</formula>
    </cfRule>
  </conditionalFormatting>
  <conditionalFormatting sqref="M48">
    <cfRule type="expression" priority="1846">
      <formula>WEEKDAY(K$3,2)&gt;5</formula>
    </cfRule>
  </conditionalFormatting>
  <conditionalFormatting sqref="O48:R48">
    <cfRule type="expression" priority="1664">
      <formula>WEEKDAY(#REF!,2)&gt;5</formula>
    </cfRule>
  </conditionalFormatting>
  <conditionalFormatting sqref="S48:T48">
    <cfRule type="expression" priority="1482">
      <formula>WEEKDAY(Q$3,2)&gt;5</formula>
    </cfRule>
  </conditionalFormatting>
  <conditionalFormatting sqref="U48:Y48">
    <cfRule type="expression" priority="1300">
      <formula>WEEKDAY(#REF!,2)&gt;5</formula>
    </cfRule>
  </conditionalFormatting>
  <conditionalFormatting sqref="X48:Y48">
    <cfRule type="expression" priority="3120">
      <formula>WEEKDAY(#REF!,2)&gt;5</formula>
    </cfRule>
  </conditionalFormatting>
  <conditionalFormatting sqref="Z48:AA48">
    <cfRule type="expression" priority="1118">
      <formula>WEEKDAY(X$3,2)&gt;5</formula>
    </cfRule>
  </conditionalFormatting>
  <conditionalFormatting sqref="AB48:AF48">
    <cfRule type="expression" priority="936">
      <formula>WEEKDAY(#REF!,2)&gt;5</formula>
    </cfRule>
  </conditionalFormatting>
  <conditionalFormatting sqref="AG48">
    <cfRule type="expression" priority="572">
      <formula>WEEKDAY(AE$3,2)&gt;5</formula>
    </cfRule>
  </conditionalFormatting>
  <conditionalFormatting sqref="AH48">
    <cfRule type="expression" priority="754">
      <formula>WEEKDAY(AF$3,2)&gt;5</formula>
    </cfRule>
  </conditionalFormatting>
  <conditionalFormatting sqref="B49">
    <cfRule type="duplicateValues" dxfId="1" priority="15425"/>
  </conditionalFormatting>
  <conditionalFormatting sqref="D49:E49">
    <cfRule type="expression" priority="2755">
      <formula>WEEKDAY(B$3,2)&gt;5</formula>
    </cfRule>
  </conditionalFormatting>
  <conditionalFormatting sqref="F49">
    <cfRule type="expression" priority="2573">
      <formula>WEEKDAY(D$3,2)&gt;5</formula>
    </cfRule>
  </conditionalFormatting>
  <conditionalFormatting sqref="G49">
    <cfRule type="expression" priority="2937">
      <formula>WEEKDAY(E$3,2)&gt;5</formula>
    </cfRule>
  </conditionalFormatting>
  <conditionalFormatting sqref="H49">
    <cfRule type="expression" priority="2391">
      <formula>WEEKDAY(F$3,2)&gt;5</formula>
    </cfRule>
  </conditionalFormatting>
  <conditionalFormatting sqref="I49">
    <cfRule type="expression" priority="2209">
      <formula>WEEKDAY(#REF!,2)&gt;5</formula>
    </cfRule>
  </conditionalFormatting>
  <conditionalFormatting sqref="J49">
    <cfRule type="expression" priority="2027">
      <formula>WEEKDAY(#REF!,2)&gt;5</formula>
    </cfRule>
  </conditionalFormatting>
  <conditionalFormatting sqref="K49">
    <cfRule type="expression" priority="3301">
      <formula>WEEKDAY(#REF!,2)&gt;5</formula>
    </cfRule>
  </conditionalFormatting>
  <conditionalFormatting sqref="M49">
    <cfRule type="expression" priority="1845">
      <formula>WEEKDAY(K$3,2)&gt;5</formula>
    </cfRule>
  </conditionalFormatting>
  <conditionalFormatting sqref="O49:R49">
    <cfRule type="expression" priority="1663">
      <formula>WEEKDAY(#REF!,2)&gt;5</formula>
    </cfRule>
  </conditionalFormatting>
  <conditionalFormatting sqref="S49:T49">
    <cfRule type="expression" priority="1481">
      <formula>WEEKDAY(Q$3,2)&gt;5</formula>
    </cfRule>
  </conditionalFormatting>
  <conditionalFormatting sqref="U49:Y49">
    <cfRule type="expression" priority="1299">
      <formula>WEEKDAY(#REF!,2)&gt;5</formula>
    </cfRule>
  </conditionalFormatting>
  <conditionalFormatting sqref="X49:Y49">
    <cfRule type="expression" priority="3119">
      <formula>WEEKDAY(#REF!,2)&gt;5</formula>
    </cfRule>
  </conditionalFormatting>
  <conditionalFormatting sqref="Z49:AA49">
    <cfRule type="expression" priority="1117">
      <formula>WEEKDAY(X$3,2)&gt;5</formula>
    </cfRule>
  </conditionalFormatting>
  <conditionalFormatting sqref="AB49:AE49">
    <cfRule type="expression" priority="935">
      <formula>WEEKDAY(#REF!,2)&gt;5</formula>
    </cfRule>
  </conditionalFormatting>
  <conditionalFormatting sqref="AF49">
    <cfRule type="expression" priority="227">
      <formula>WEEKDAY(AB$3,2)&gt;5</formula>
    </cfRule>
  </conditionalFormatting>
  <conditionalFormatting sqref="AG49">
    <cfRule type="expression" priority="571">
      <formula>WEEKDAY(AE$3,2)&gt;5</formula>
    </cfRule>
  </conditionalFormatting>
  <conditionalFormatting sqref="AH49">
    <cfRule type="expression" priority="753">
      <formula>WEEKDAY(AF$3,2)&gt;5</formula>
    </cfRule>
  </conditionalFormatting>
  <conditionalFormatting sqref="B50">
    <cfRule type="duplicateValues" dxfId="1" priority="15506"/>
  </conditionalFormatting>
  <conditionalFormatting sqref="D50:E50">
    <cfRule type="expression" priority="2753">
      <formula>WEEKDAY(B$3,2)&gt;5</formula>
    </cfRule>
  </conditionalFormatting>
  <conditionalFormatting sqref="F50">
    <cfRule type="expression" priority="2571">
      <formula>WEEKDAY(D$3,2)&gt;5</formula>
    </cfRule>
  </conditionalFormatting>
  <conditionalFormatting sqref="G50">
    <cfRule type="expression" priority="2935">
      <formula>WEEKDAY(E$3,2)&gt;5</formula>
    </cfRule>
  </conditionalFormatting>
  <conditionalFormatting sqref="H50">
    <cfRule type="expression" priority="2389">
      <formula>WEEKDAY(F$3,2)&gt;5</formula>
    </cfRule>
  </conditionalFormatting>
  <conditionalFormatting sqref="I50">
    <cfRule type="expression" priority="2207">
      <formula>WEEKDAY(#REF!,2)&gt;5</formula>
    </cfRule>
  </conditionalFormatting>
  <conditionalFormatting sqref="J50">
    <cfRule type="expression" priority="2025">
      <formula>WEEKDAY(#REF!,2)&gt;5</formula>
    </cfRule>
  </conditionalFormatting>
  <conditionalFormatting sqref="K50">
    <cfRule type="expression" priority="3299">
      <formula>WEEKDAY(#REF!,2)&gt;5</formula>
    </cfRule>
  </conditionalFormatting>
  <conditionalFormatting sqref="M50">
    <cfRule type="expression" priority="1843">
      <formula>WEEKDAY(K$3,2)&gt;5</formula>
    </cfRule>
  </conditionalFormatting>
  <conditionalFormatting sqref="P50">
    <cfRule type="expression" priority="230">
      <formula>WEEKDAY(#REF!,2)&gt;5</formula>
    </cfRule>
  </conditionalFormatting>
  <conditionalFormatting sqref="S50:T50">
    <cfRule type="expression" priority="1479">
      <formula>WEEKDAY(Q$3,2)&gt;5</formula>
    </cfRule>
  </conditionalFormatting>
  <conditionalFormatting sqref="U50:Y50">
    <cfRule type="expression" priority="1297">
      <formula>WEEKDAY(#REF!,2)&gt;5</formula>
    </cfRule>
  </conditionalFormatting>
  <conditionalFormatting sqref="X50:Y50">
    <cfRule type="expression" priority="3117">
      <formula>WEEKDAY(#REF!,2)&gt;5</formula>
    </cfRule>
  </conditionalFormatting>
  <conditionalFormatting sqref="Z50:AA50">
    <cfRule type="expression" priority="1115">
      <formula>WEEKDAY(X$3,2)&gt;5</formula>
    </cfRule>
  </conditionalFormatting>
  <conditionalFormatting sqref="AB50:AF50">
    <cfRule type="expression" priority="933">
      <formula>WEEKDAY(#REF!,2)&gt;5</formula>
    </cfRule>
  </conditionalFormatting>
  <conditionalFormatting sqref="AG50">
    <cfRule type="expression" priority="569">
      <formula>WEEKDAY(AE$3,2)&gt;5</formula>
    </cfRule>
  </conditionalFormatting>
  <conditionalFormatting sqref="AH50">
    <cfRule type="expression" priority="751">
      <formula>WEEKDAY(AF$3,2)&gt;5</formula>
    </cfRule>
  </conditionalFormatting>
  <conditionalFormatting sqref="AN50">
    <cfRule type="expression" priority="8315">
      <formula>WEEKDAY(#REF!,2)&gt;5</formula>
    </cfRule>
  </conditionalFormatting>
  <conditionalFormatting sqref="B51">
    <cfRule type="duplicateValues" dxfId="1" priority="15448"/>
  </conditionalFormatting>
  <conditionalFormatting sqref="D51:E51">
    <cfRule type="expression" priority="2752">
      <formula>WEEKDAY(B$3,2)&gt;5</formula>
    </cfRule>
  </conditionalFormatting>
  <conditionalFormatting sqref="F51">
    <cfRule type="expression" priority="2570">
      <formula>WEEKDAY(D$3,2)&gt;5</formula>
    </cfRule>
  </conditionalFormatting>
  <conditionalFormatting sqref="G51">
    <cfRule type="expression" priority="2934">
      <formula>WEEKDAY(E$3,2)&gt;5</formula>
    </cfRule>
  </conditionalFormatting>
  <conditionalFormatting sqref="H51">
    <cfRule type="expression" priority="2388">
      <formula>WEEKDAY(F$3,2)&gt;5</formula>
    </cfRule>
  </conditionalFormatting>
  <conditionalFormatting sqref="I51">
    <cfRule type="expression" priority="2206">
      <formula>WEEKDAY(#REF!,2)&gt;5</formula>
    </cfRule>
  </conditionalFormatting>
  <conditionalFormatting sqref="J51">
    <cfRule type="expression" priority="2024">
      <formula>WEEKDAY(#REF!,2)&gt;5</formula>
    </cfRule>
  </conditionalFormatting>
  <conditionalFormatting sqref="K51">
    <cfRule type="expression" priority="3298">
      <formula>WEEKDAY(#REF!,2)&gt;5</formula>
    </cfRule>
  </conditionalFormatting>
  <conditionalFormatting sqref="M51">
    <cfRule type="expression" priority="1842">
      <formula>WEEKDAY(K$3,2)&gt;5</formula>
    </cfRule>
  </conditionalFormatting>
  <conditionalFormatting sqref="O51:R51">
    <cfRule type="expression" priority="1660">
      <formula>WEEKDAY(#REF!,2)&gt;5</formula>
    </cfRule>
  </conditionalFormatting>
  <conditionalFormatting sqref="S51:T51">
    <cfRule type="expression" priority="1478">
      <formula>WEEKDAY(Q$3,2)&gt;5</formula>
    </cfRule>
  </conditionalFormatting>
  <conditionalFormatting sqref="U51:Y51">
    <cfRule type="expression" priority="1296">
      <formula>WEEKDAY(#REF!,2)&gt;5</formula>
    </cfRule>
  </conditionalFormatting>
  <conditionalFormatting sqref="X51:Y51">
    <cfRule type="expression" priority="3116">
      <formula>WEEKDAY(#REF!,2)&gt;5</formula>
    </cfRule>
  </conditionalFormatting>
  <conditionalFormatting sqref="Z51:AA51">
    <cfRule type="expression" priority="1114">
      <formula>WEEKDAY(X$3,2)&gt;5</formula>
    </cfRule>
  </conditionalFormatting>
  <conditionalFormatting sqref="AB51:AF51">
    <cfRule type="expression" priority="932">
      <formula>WEEKDAY(#REF!,2)&gt;5</formula>
    </cfRule>
  </conditionalFormatting>
  <conditionalFormatting sqref="AG51">
    <cfRule type="expression" priority="568">
      <formula>WEEKDAY(AE$3,2)&gt;5</formula>
    </cfRule>
  </conditionalFormatting>
  <conditionalFormatting sqref="AH51">
    <cfRule type="expression" priority="750">
      <formula>WEEKDAY(AF$3,2)&gt;5</formula>
    </cfRule>
  </conditionalFormatting>
  <conditionalFormatting sqref="D52:E52">
    <cfRule type="expression" priority="2751">
      <formula>WEEKDAY(B$3,2)&gt;5</formula>
    </cfRule>
  </conditionalFormatting>
  <conditionalFormatting sqref="F52">
    <cfRule type="expression" priority="2569">
      <formula>WEEKDAY(D$3,2)&gt;5</formula>
    </cfRule>
  </conditionalFormatting>
  <conditionalFormatting sqref="G52">
    <cfRule type="expression" priority="2933">
      <formula>WEEKDAY(E$3,2)&gt;5</formula>
    </cfRule>
  </conditionalFormatting>
  <conditionalFormatting sqref="H52">
    <cfRule type="expression" priority="2387">
      <formula>WEEKDAY(F$3,2)&gt;5</formula>
    </cfRule>
  </conditionalFormatting>
  <conditionalFormatting sqref="I52">
    <cfRule type="expression" priority="229">
      <formula>WEEKDAY(#REF!,2)&gt;5</formula>
    </cfRule>
  </conditionalFormatting>
  <conditionalFormatting sqref="J52">
    <cfRule type="expression" priority="2023">
      <formula>WEEKDAY(#REF!,2)&gt;5</formula>
    </cfRule>
  </conditionalFormatting>
  <conditionalFormatting sqref="K52">
    <cfRule type="expression" priority="3297">
      <formula>WEEKDAY(#REF!,2)&gt;5</formula>
    </cfRule>
  </conditionalFormatting>
  <conditionalFormatting sqref="L52">
    <cfRule type="expression" priority="3479">
      <formula>WEEKDAY(#REF!,2)&gt;5</formula>
    </cfRule>
  </conditionalFormatting>
  <conditionalFormatting sqref="M52">
    <cfRule type="expression" priority="1841">
      <formula>WEEKDAY(K$3,2)&gt;5</formula>
    </cfRule>
  </conditionalFormatting>
  <conditionalFormatting sqref="N52">
    <cfRule type="expression" priority="228">
      <formula>WEEKDAY(#REF!,2)&gt;5</formula>
    </cfRule>
  </conditionalFormatting>
  <conditionalFormatting sqref="O52:R52">
    <cfRule type="expression" priority="1659">
      <formula>WEEKDAY(#REF!,2)&gt;5</formula>
    </cfRule>
  </conditionalFormatting>
  <conditionalFormatting sqref="S52:T52">
    <cfRule type="expression" priority="1477">
      <formula>WEEKDAY(Q$3,2)&gt;5</formula>
    </cfRule>
  </conditionalFormatting>
  <conditionalFormatting sqref="U52:Y52">
    <cfRule type="expression" priority="1295">
      <formula>WEEKDAY(#REF!,2)&gt;5</formula>
    </cfRule>
  </conditionalFormatting>
  <conditionalFormatting sqref="X52:Y52">
    <cfRule type="expression" priority="3115">
      <formula>WEEKDAY(#REF!,2)&gt;5</formula>
    </cfRule>
  </conditionalFormatting>
  <conditionalFormatting sqref="Z52:AA52">
    <cfRule type="expression" priority="1113">
      <formula>WEEKDAY(X$3,2)&gt;5</formula>
    </cfRule>
  </conditionalFormatting>
  <conditionalFormatting sqref="AB52:AF52">
    <cfRule type="expression" priority="931">
      <formula>WEEKDAY(#REF!,2)&gt;5</formula>
    </cfRule>
  </conditionalFormatting>
  <conditionalFormatting sqref="AG52">
    <cfRule type="expression" priority="567">
      <formula>WEEKDAY(AE$3,2)&gt;5</formula>
    </cfRule>
  </conditionalFormatting>
  <conditionalFormatting sqref="AH52">
    <cfRule type="expression" priority="749">
      <formula>WEEKDAY(AF$3,2)&gt;5</formula>
    </cfRule>
  </conditionalFormatting>
  <conditionalFormatting sqref="B53">
    <cfRule type="duplicateValues" dxfId="1" priority="15519"/>
  </conditionalFormatting>
  <conditionalFormatting sqref="D53:E53">
    <cfRule type="expression" priority="2750">
      <formula>WEEKDAY(B$3,2)&gt;5</formula>
    </cfRule>
  </conditionalFormatting>
  <conditionalFormatting sqref="F53">
    <cfRule type="expression" priority="2568">
      <formula>WEEKDAY(D$3,2)&gt;5</formula>
    </cfRule>
  </conditionalFormatting>
  <conditionalFormatting sqref="G53">
    <cfRule type="expression" priority="2932">
      <formula>WEEKDAY(E$3,2)&gt;5</formula>
    </cfRule>
  </conditionalFormatting>
  <conditionalFormatting sqref="H53">
    <cfRule type="expression" priority="2386">
      <formula>WEEKDAY(F$3,2)&gt;5</formula>
    </cfRule>
  </conditionalFormatting>
  <conditionalFormatting sqref="I53">
    <cfRule type="expression" priority="2204">
      <formula>WEEKDAY(#REF!,2)&gt;5</formula>
    </cfRule>
  </conditionalFormatting>
  <conditionalFormatting sqref="J53">
    <cfRule type="expression" priority="2022">
      <formula>WEEKDAY(#REF!,2)&gt;5</formula>
    </cfRule>
  </conditionalFormatting>
  <conditionalFormatting sqref="K53">
    <cfRule type="expression" priority="3296">
      <formula>WEEKDAY(#REF!,2)&gt;5</formula>
    </cfRule>
  </conditionalFormatting>
  <conditionalFormatting sqref="M53">
    <cfRule type="expression" priority="1840">
      <formula>WEEKDAY(K$3,2)&gt;5</formula>
    </cfRule>
  </conditionalFormatting>
  <conditionalFormatting sqref="O53:R53">
    <cfRule type="expression" priority="1658">
      <formula>WEEKDAY(#REF!,2)&gt;5</formula>
    </cfRule>
  </conditionalFormatting>
  <conditionalFormatting sqref="S53:T53">
    <cfRule type="expression" priority="1476">
      <formula>WEEKDAY(Q$3,2)&gt;5</formula>
    </cfRule>
  </conditionalFormatting>
  <conditionalFormatting sqref="U53:Y53">
    <cfRule type="expression" priority="1294">
      <formula>WEEKDAY(#REF!,2)&gt;5</formula>
    </cfRule>
  </conditionalFormatting>
  <conditionalFormatting sqref="X53:Y53">
    <cfRule type="expression" priority="3114">
      <formula>WEEKDAY(#REF!,2)&gt;5</formula>
    </cfRule>
  </conditionalFormatting>
  <conditionalFormatting sqref="Z53:AA53">
    <cfRule type="expression" priority="1112">
      <formula>WEEKDAY(X$3,2)&gt;5</formula>
    </cfRule>
  </conditionalFormatting>
  <conditionalFormatting sqref="AB53:AF53">
    <cfRule type="expression" priority="930">
      <formula>WEEKDAY(#REF!,2)&gt;5</formula>
    </cfRule>
  </conditionalFormatting>
  <conditionalFormatting sqref="AG53">
    <cfRule type="expression" priority="566">
      <formula>WEEKDAY(AE$3,2)&gt;5</formula>
    </cfRule>
  </conditionalFormatting>
  <conditionalFormatting sqref="AH53">
    <cfRule type="expression" priority="748">
      <formula>WEEKDAY(AF$3,2)&gt;5</formula>
    </cfRule>
  </conditionalFormatting>
  <conditionalFormatting sqref="B54">
    <cfRule type="duplicateValues" dxfId="1" priority="15483"/>
  </conditionalFormatting>
  <conditionalFormatting sqref="D54:E54">
    <cfRule type="expression" priority="2749">
      <formula>WEEKDAY(B$3,2)&gt;5</formula>
    </cfRule>
  </conditionalFormatting>
  <conditionalFormatting sqref="F54">
    <cfRule type="expression" priority="2567">
      <formula>WEEKDAY(D$3,2)&gt;5</formula>
    </cfRule>
  </conditionalFormatting>
  <conditionalFormatting sqref="G54">
    <cfRule type="expression" priority="2931">
      <formula>WEEKDAY(E$3,2)&gt;5</formula>
    </cfRule>
  </conditionalFormatting>
  <conditionalFormatting sqref="H54">
    <cfRule type="expression" priority="2385">
      <formula>WEEKDAY(F$3,2)&gt;5</formula>
    </cfRule>
  </conditionalFormatting>
  <conditionalFormatting sqref="I54">
    <cfRule type="expression" priority="2203">
      <formula>WEEKDAY(#REF!,2)&gt;5</formula>
    </cfRule>
  </conditionalFormatting>
  <conditionalFormatting sqref="J54">
    <cfRule type="expression" priority="2021">
      <formula>WEEKDAY(#REF!,2)&gt;5</formula>
    </cfRule>
  </conditionalFormatting>
  <conditionalFormatting sqref="K54">
    <cfRule type="expression" priority="3295">
      <formula>WEEKDAY(#REF!,2)&gt;5</formula>
    </cfRule>
  </conditionalFormatting>
  <conditionalFormatting sqref="L54">
    <cfRule type="expression" priority="3477">
      <formula>WEEKDAY(#REF!,2)&gt;5</formula>
    </cfRule>
  </conditionalFormatting>
  <conditionalFormatting sqref="M54">
    <cfRule type="expression" priority="1839">
      <formula>WEEKDAY(K$3,2)&gt;5</formula>
    </cfRule>
  </conditionalFormatting>
  <conditionalFormatting sqref="N54">
    <cfRule type="expression" priority="341">
      <formula>WEEKDAY(#REF!,2)&gt;5</formula>
    </cfRule>
  </conditionalFormatting>
  <conditionalFormatting sqref="O54:R54">
    <cfRule type="expression" priority="1657">
      <formula>WEEKDAY(#REF!,2)&gt;5</formula>
    </cfRule>
  </conditionalFormatting>
  <conditionalFormatting sqref="S54:T54">
    <cfRule type="expression" priority="1475">
      <formula>WEEKDAY(Q$3,2)&gt;5</formula>
    </cfRule>
  </conditionalFormatting>
  <conditionalFormatting sqref="U54:Y54">
    <cfRule type="expression" priority="1293">
      <formula>WEEKDAY(#REF!,2)&gt;5</formula>
    </cfRule>
  </conditionalFormatting>
  <conditionalFormatting sqref="X54:Y54">
    <cfRule type="expression" priority="3113">
      <formula>WEEKDAY(#REF!,2)&gt;5</formula>
    </cfRule>
  </conditionalFormatting>
  <conditionalFormatting sqref="Z54:AA54">
    <cfRule type="expression" priority="1111">
      <formula>WEEKDAY(X$3,2)&gt;5</formula>
    </cfRule>
  </conditionalFormatting>
  <conditionalFormatting sqref="AB54:AF54">
    <cfRule type="expression" priority="929">
      <formula>WEEKDAY(#REF!,2)&gt;5</formula>
    </cfRule>
  </conditionalFormatting>
  <conditionalFormatting sqref="AG54">
    <cfRule type="expression" priority="565">
      <formula>WEEKDAY(AE$3,2)&gt;5</formula>
    </cfRule>
  </conditionalFormatting>
  <conditionalFormatting sqref="AH54">
    <cfRule type="expression" priority="747">
      <formula>WEEKDAY(AF$3,2)&gt;5</formula>
    </cfRule>
  </conditionalFormatting>
  <conditionalFormatting sqref="D55:E55">
    <cfRule type="expression" priority="2748">
      <formula>WEEKDAY(B$3,2)&gt;5</formula>
    </cfRule>
  </conditionalFormatting>
  <conditionalFormatting sqref="F55">
    <cfRule type="expression" priority="2566">
      <formula>WEEKDAY(D$3,2)&gt;5</formula>
    </cfRule>
  </conditionalFormatting>
  <conditionalFormatting sqref="G55">
    <cfRule type="expression" priority="2930">
      <formula>WEEKDAY(E$3,2)&gt;5</formula>
    </cfRule>
  </conditionalFormatting>
  <conditionalFormatting sqref="H55">
    <cfRule type="expression" priority="2384">
      <formula>WEEKDAY(F$3,2)&gt;5</formula>
    </cfRule>
  </conditionalFormatting>
  <conditionalFormatting sqref="I55">
    <cfRule type="expression" priority="2202">
      <formula>WEEKDAY(#REF!,2)&gt;5</formula>
    </cfRule>
  </conditionalFormatting>
  <conditionalFormatting sqref="J55">
    <cfRule type="expression" priority="2020">
      <formula>WEEKDAY(#REF!,2)&gt;5</formula>
    </cfRule>
  </conditionalFormatting>
  <conditionalFormatting sqref="K55">
    <cfRule type="expression" priority="3294">
      <formula>WEEKDAY(#REF!,2)&gt;5</formula>
    </cfRule>
  </conditionalFormatting>
  <conditionalFormatting sqref="M55">
    <cfRule type="expression" priority="1838">
      <formula>WEEKDAY(K$3,2)&gt;5</formula>
    </cfRule>
  </conditionalFormatting>
  <conditionalFormatting sqref="O55:R55">
    <cfRule type="expression" priority="1656">
      <formula>WEEKDAY(#REF!,2)&gt;5</formula>
    </cfRule>
  </conditionalFormatting>
  <conditionalFormatting sqref="S55:T55">
    <cfRule type="expression" priority="1474">
      <formula>WEEKDAY(Q$3,2)&gt;5</formula>
    </cfRule>
  </conditionalFormatting>
  <conditionalFormatting sqref="U55:Y55">
    <cfRule type="expression" priority="1292">
      <formula>WEEKDAY(#REF!,2)&gt;5</formula>
    </cfRule>
  </conditionalFormatting>
  <conditionalFormatting sqref="X55:Y55">
    <cfRule type="expression" priority="3112">
      <formula>WEEKDAY(#REF!,2)&gt;5</formula>
    </cfRule>
  </conditionalFormatting>
  <conditionalFormatting sqref="Z55:AA55">
    <cfRule type="expression" priority="1110">
      <formula>WEEKDAY(X$3,2)&gt;5</formula>
    </cfRule>
  </conditionalFormatting>
  <conditionalFormatting sqref="AB55:AF55">
    <cfRule type="expression" priority="928">
      <formula>WEEKDAY(#REF!,2)&gt;5</formula>
    </cfRule>
  </conditionalFormatting>
  <conditionalFormatting sqref="AG55">
    <cfRule type="expression" priority="564">
      <formula>WEEKDAY(AE$3,2)&gt;5</formula>
    </cfRule>
  </conditionalFormatting>
  <conditionalFormatting sqref="AH55">
    <cfRule type="expression" priority="746">
      <formula>WEEKDAY(AF$3,2)&gt;5</formula>
    </cfRule>
  </conditionalFormatting>
  <conditionalFormatting sqref="D56:E56">
    <cfRule type="expression" priority="2747">
      <formula>WEEKDAY(B$3,2)&gt;5</formula>
    </cfRule>
  </conditionalFormatting>
  <conditionalFormatting sqref="F56">
    <cfRule type="expression" priority="2565">
      <formula>WEEKDAY(D$3,2)&gt;5</formula>
    </cfRule>
  </conditionalFormatting>
  <conditionalFormatting sqref="G56">
    <cfRule type="expression" priority="2929">
      <formula>WEEKDAY(E$3,2)&gt;5</formula>
    </cfRule>
  </conditionalFormatting>
  <conditionalFormatting sqref="H56">
    <cfRule type="expression" priority="2383">
      <formula>WEEKDAY(F$3,2)&gt;5</formula>
    </cfRule>
  </conditionalFormatting>
  <conditionalFormatting sqref="I56">
    <cfRule type="expression" priority="2201">
      <formula>WEEKDAY(#REF!,2)&gt;5</formula>
    </cfRule>
  </conditionalFormatting>
  <conditionalFormatting sqref="J56">
    <cfRule type="expression" priority="2019">
      <formula>WEEKDAY(#REF!,2)&gt;5</formula>
    </cfRule>
  </conditionalFormatting>
  <conditionalFormatting sqref="K56">
    <cfRule type="expression" priority="3293">
      <formula>WEEKDAY(#REF!,2)&gt;5</formula>
    </cfRule>
  </conditionalFormatting>
  <conditionalFormatting sqref="M56">
    <cfRule type="expression" priority="1837">
      <formula>WEEKDAY(K$3,2)&gt;5</formula>
    </cfRule>
  </conditionalFormatting>
  <conditionalFormatting sqref="O56:R56">
    <cfRule type="expression" priority="1655">
      <formula>WEEKDAY(#REF!,2)&gt;5</formula>
    </cfRule>
  </conditionalFormatting>
  <conditionalFormatting sqref="S56:T56">
    <cfRule type="expression" priority="1473">
      <formula>WEEKDAY(Q$3,2)&gt;5</formula>
    </cfRule>
  </conditionalFormatting>
  <conditionalFormatting sqref="U56:Y56">
    <cfRule type="expression" priority="1291">
      <formula>WEEKDAY(#REF!,2)&gt;5</formula>
    </cfRule>
  </conditionalFormatting>
  <conditionalFormatting sqref="X56:Y56">
    <cfRule type="expression" priority="3111">
      <formula>WEEKDAY(#REF!,2)&gt;5</formula>
    </cfRule>
  </conditionalFormatting>
  <conditionalFormatting sqref="Z56:AA56">
    <cfRule type="expression" priority="1109">
      <formula>WEEKDAY(X$3,2)&gt;5</formula>
    </cfRule>
  </conditionalFormatting>
  <conditionalFormatting sqref="AB56:AF56">
    <cfRule type="expression" priority="927">
      <formula>WEEKDAY(#REF!,2)&gt;5</formula>
    </cfRule>
  </conditionalFormatting>
  <conditionalFormatting sqref="AG56">
    <cfRule type="expression" priority="563">
      <formula>WEEKDAY(AE$3,2)&gt;5</formula>
    </cfRule>
  </conditionalFormatting>
  <conditionalFormatting sqref="AH56">
    <cfRule type="expression" priority="745">
      <formula>WEEKDAY(AF$3,2)&gt;5</formula>
    </cfRule>
  </conditionalFormatting>
  <conditionalFormatting sqref="D57:E57">
    <cfRule type="expression" priority="2746">
      <formula>WEEKDAY(B$3,2)&gt;5</formula>
    </cfRule>
  </conditionalFormatting>
  <conditionalFormatting sqref="F57">
    <cfRule type="expression" priority="2564">
      <formula>WEEKDAY(D$3,2)&gt;5</formula>
    </cfRule>
  </conditionalFormatting>
  <conditionalFormatting sqref="G57">
    <cfRule type="expression" priority="2928">
      <formula>WEEKDAY(E$3,2)&gt;5</formula>
    </cfRule>
  </conditionalFormatting>
  <conditionalFormatting sqref="H57">
    <cfRule type="expression" priority="2382">
      <formula>WEEKDAY(F$3,2)&gt;5</formula>
    </cfRule>
  </conditionalFormatting>
  <conditionalFormatting sqref="I57">
    <cfRule type="expression" priority="2200">
      <formula>WEEKDAY(#REF!,2)&gt;5</formula>
    </cfRule>
  </conditionalFormatting>
  <conditionalFormatting sqref="J57">
    <cfRule type="expression" priority="2018">
      <formula>WEEKDAY(#REF!,2)&gt;5</formula>
    </cfRule>
  </conditionalFormatting>
  <conditionalFormatting sqref="K57">
    <cfRule type="expression" priority="3292">
      <formula>WEEKDAY(#REF!,2)&gt;5</formula>
    </cfRule>
  </conditionalFormatting>
  <conditionalFormatting sqref="M57">
    <cfRule type="expression" priority="1836">
      <formula>WEEKDAY(K$3,2)&gt;5</formula>
    </cfRule>
  </conditionalFormatting>
  <conditionalFormatting sqref="O57:R57">
    <cfRule type="expression" priority="1654">
      <formula>WEEKDAY(#REF!,2)&gt;5</formula>
    </cfRule>
  </conditionalFormatting>
  <conditionalFormatting sqref="S57:T57">
    <cfRule type="expression" priority="1472">
      <formula>WEEKDAY(Q$3,2)&gt;5</formula>
    </cfRule>
  </conditionalFormatting>
  <conditionalFormatting sqref="U57:Y57">
    <cfRule type="expression" priority="1290">
      <formula>WEEKDAY(#REF!,2)&gt;5</formula>
    </cfRule>
  </conditionalFormatting>
  <conditionalFormatting sqref="X57:Y57">
    <cfRule type="expression" priority="3110">
      <formula>WEEKDAY(#REF!,2)&gt;5</formula>
    </cfRule>
  </conditionalFormatting>
  <conditionalFormatting sqref="Z57:AA57">
    <cfRule type="expression" priority="1108">
      <formula>WEEKDAY(X$3,2)&gt;5</formula>
    </cfRule>
  </conditionalFormatting>
  <conditionalFormatting sqref="AB57:AF57">
    <cfRule type="expression" priority="926">
      <formula>WEEKDAY(#REF!,2)&gt;5</formula>
    </cfRule>
  </conditionalFormatting>
  <conditionalFormatting sqref="AG57">
    <cfRule type="expression" priority="562">
      <formula>WEEKDAY(AE$3,2)&gt;5</formula>
    </cfRule>
  </conditionalFormatting>
  <conditionalFormatting sqref="AH57">
    <cfRule type="expression" priority="744">
      <formula>WEEKDAY(AF$3,2)&gt;5</formula>
    </cfRule>
  </conditionalFormatting>
  <conditionalFormatting sqref="D58:E58">
    <cfRule type="expression" priority="2745">
      <formula>WEEKDAY(B$3,2)&gt;5</formula>
    </cfRule>
  </conditionalFormatting>
  <conditionalFormatting sqref="F58">
    <cfRule type="expression" priority="2563">
      <formula>WEEKDAY(D$3,2)&gt;5</formula>
    </cfRule>
  </conditionalFormatting>
  <conditionalFormatting sqref="G58">
    <cfRule type="expression" priority="2927">
      <formula>WEEKDAY(E$3,2)&gt;5</formula>
    </cfRule>
  </conditionalFormatting>
  <conditionalFormatting sqref="H58">
    <cfRule type="expression" priority="2381">
      <formula>WEEKDAY(F$3,2)&gt;5</formula>
    </cfRule>
  </conditionalFormatting>
  <conditionalFormatting sqref="I58">
    <cfRule type="expression" priority="2199">
      <formula>WEEKDAY(#REF!,2)&gt;5</formula>
    </cfRule>
  </conditionalFormatting>
  <conditionalFormatting sqref="J58">
    <cfRule type="expression" priority="2017">
      <formula>WEEKDAY(#REF!,2)&gt;5</formula>
    </cfRule>
  </conditionalFormatting>
  <conditionalFormatting sqref="K58">
    <cfRule type="expression" priority="3291">
      <formula>WEEKDAY(#REF!,2)&gt;5</formula>
    </cfRule>
  </conditionalFormatting>
  <conditionalFormatting sqref="M58">
    <cfRule type="expression" priority="1835">
      <formula>WEEKDAY(K$3,2)&gt;5</formula>
    </cfRule>
  </conditionalFormatting>
  <conditionalFormatting sqref="O58:R58">
    <cfRule type="expression" priority="1653">
      <formula>WEEKDAY(#REF!,2)&gt;5</formula>
    </cfRule>
  </conditionalFormatting>
  <conditionalFormatting sqref="S58:T58">
    <cfRule type="expression" priority="1471">
      <formula>WEEKDAY(Q$3,2)&gt;5</formula>
    </cfRule>
  </conditionalFormatting>
  <conditionalFormatting sqref="V58:W58">
    <cfRule type="expression" priority="257">
      <formula>WEEKDAY(R$3,2)&gt;5</formula>
    </cfRule>
  </conditionalFormatting>
  <conditionalFormatting sqref="X58:Y58">
    <cfRule type="expression" priority="3109">
      <formula>WEEKDAY(#REF!,2)&gt;5</formula>
    </cfRule>
  </conditionalFormatting>
  <conditionalFormatting sqref="Z58:AA58">
    <cfRule type="expression" priority="1107">
      <formula>WEEKDAY(X$3,2)&gt;5</formula>
    </cfRule>
  </conditionalFormatting>
  <conditionalFormatting sqref="AB58:AF58">
    <cfRule type="expression" priority="925">
      <formula>WEEKDAY(#REF!,2)&gt;5</formula>
    </cfRule>
  </conditionalFormatting>
  <conditionalFormatting sqref="AG58">
    <cfRule type="expression" priority="561">
      <formula>WEEKDAY(AE$3,2)&gt;5</formula>
    </cfRule>
  </conditionalFormatting>
  <conditionalFormatting sqref="AH58">
    <cfRule type="expression" priority="743">
      <formula>WEEKDAY(AF$3,2)&gt;5</formula>
    </cfRule>
  </conditionalFormatting>
  <conditionalFormatting sqref="D59:E59">
    <cfRule type="expression" priority="2744">
      <formula>WEEKDAY(B$3,2)&gt;5</formula>
    </cfRule>
  </conditionalFormatting>
  <conditionalFormatting sqref="F59">
    <cfRule type="expression" priority="2562">
      <formula>WEEKDAY(D$3,2)&gt;5</formula>
    </cfRule>
  </conditionalFormatting>
  <conditionalFormatting sqref="G59">
    <cfRule type="expression" priority="2926">
      <formula>WEEKDAY(E$3,2)&gt;5</formula>
    </cfRule>
  </conditionalFormatting>
  <conditionalFormatting sqref="H59">
    <cfRule type="expression" priority="2380">
      <formula>WEEKDAY(F$3,2)&gt;5</formula>
    </cfRule>
  </conditionalFormatting>
  <conditionalFormatting sqref="I59">
    <cfRule type="expression" priority="2198">
      <formula>WEEKDAY(#REF!,2)&gt;5</formula>
    </cfRule>
  </conditionalFormatting>
  <conditionalFormatting sqref="J59">
    <cfRule type="expression" priority="2016">
      <formula>WEEKDAY(#REF!,2)&gt;5</formula>
    </cfRule>
  </conditionalFormatting>
  <conditionalFormatting sqref="K59">
    <cfRule type="expression" priority="3290">
      <formula>WEEKDAY(#REF!,2)&gt;5</formula>
    </cfRule>
  </conditionalFormatting>
  <conditionalFormatting sqref="M59">
    <cfRule type="expression" priority="1834">
      <formula>WEEKDAY(K$3,2)&gt;5</formula>
    </cfRule>
  </conditionalFormatting>
  <conditionalFormatting sqref="O59:R59">
    <cfRule type="expression" priority="1652">
      <formula>WEEKDAY(#REF!,2)&gt;5</formula>
    </cfRule>
  </conditionalFormatting>
  <conditionalFormatting sqref="S59:T59">
    <cfRule type="expression" priority="1470">
      <formula>WEEKDAY(Q$3,2)&gt;5</formula>
    </cfRule>
  </conditionalFormatting>
  <conditionalFormatting sqref="V59">
    <cfRule type="expression" priority="258">
      <formula>WEEKDAY(R$3,2)&gt;5</formula>
    </cfRule>
  </conditionalFormatting>
  <conditionalFormatting sqref="X59:Y59">
    <cfRule type="expression" priority="3108">
      <formula>WEEKDAY(#REF!,2)&gt;5</formula>
    </cfRule>
  </conditionalFormatting>
  <conditionalFormatting sqref="Z59:AA59">
    <cfRule type="expression" priority="1106">
      <formula>WEEKDAY(X$3,2)&gt;5</formula>
    </cfRule>
  </conditionalFormatting>
  <conditionalFormatting sqref="AB59:AF59">
    <cfRule type="expression" priority="924">
      <formula>WEEKDAY(#REF!,2)&gt;5</formula>
    </cfRule>
  </conditionalFormatting>
  <conditionalFormatting sqref="AG59">
    <cfRule type="expression" priority="560">
      <formula>WEEKDAY(AE$3,2)&gt;5</formula>
    </cfRule>
  </conditionalFormatting>
  <conditionalFormatting sqref="AH59">
    <cfRule type="expression" priority="742">
      <formula>WEEKDAY(AF$3,2)&gt;5</formula>
    </cfRule>
  </conditionalFormatting>
  <conditionalFormatting sqref="D60:E60">
    <cfRule type="expression" priority="2743">
      <formula>WEEKDAY(B$3,2)&gt;5</formula>
    </cfRule>
  </conditionalFormatting>
  <conditionalFormatting sqref="F60">
    <cfRule type="expression" priority="2561">
      <formula>WEEKDAY(D$3,2)&gt;5</formula>
    </cfRule>
  </conditionalFormatting>
  <conditionalFormatting sqref="G60">
    <cfRule type="expression" priority="2925">
      <formula>WEEKDAY(E$3,2)&gt;5</formula>
    </cfRule>
  </conditionalFormatting>
  <conditionalFormatting sqref="H60">
    <cfRule type="expression" priority="2379">
      <formula>WEEKDAY(F$3,2)&gt;5</formula>
    </cfRule>
  </conditionalFormatting>
  <conditionalFormatting sqref="I60">
    <cfRule type="expression" priority="2197">
      <formula>WEEKDAY(#REF!,2)&gt;5</formula>
    </cfRule>
  </conditionalFormatting>
  <conditionalFormatting sqref="J60">
    <cfRule type="expression" priority="2015">
      <formula>WEEKDAY(#REF!,2)&gt;5</formula>
    </cfRule>
  </conditionalFormatting>
  <conditionalFormatting sqref="K60">
    <cfRule type="expression" priority="3289">
      <formula>WEEKDAY(#REF!,2)&gt;5</formula>
    </cfRule>
  </conditionalFormatting>
  <conditionalFormatting sqref="M60">
    <cfRule type="expression" priority="1833">
      <formula>WEEKDAY(K$3,2)&gt;5</formula>
    </cfRule>
  </conditionalFormatting>
  <conditionalFormatting sqref="O60:R60">
    <cfRule type="expression" priority="1651">
      <formula>WEEKDAY(#REF!,2)&gt;5</formula>
    </cfRule>
  </conditionalFormatting>
  <conditionalFormatting sqref="S60:T60">
    <cfRule type="expression" priority="1469">
      <formula>WEEKDAY(Q$3,2)&gt;5</formula>
    </cfRule>
  </conditionalFormatting>
  <conditionalFormatting sqref="U60:Y60">
    <cfRule type="expression" priority="1287">
      <formula>WEEKDAY(#REF!,2)&gt;5</formula>
    </cfRule>
  </conditionalFormatting>
  <conditionalFormatting sqref="X60:Y60">
    <cfRule type="expression" priority="3107">
      <formula>WEEKDAY(#REF!,2)&gt;5</formula>
    </cfRule>
  </conditionalFormatting>
  <conditionalFormatting sqref="Z60:AA60">
    <cfRule type="expression" priority="1105">
      <formula>WEEKDAY(X$3,2)&gt;5</formula>
    </cfRule>
  </conditionalFormatting>
  <conditionalFormatting sqref="AB60:AF60">
    <cfRule type="expression" priority="923">
      <formula>WEEKDAY(#REF!,2)&gt;5</formula>
    </cfRule>
  </conditionalFormatting>
  <conditionalFormatting sqref="AG60">
    <cfRule type="expression" priority="559">
      <formula>WEEKDAY(AE$3,2)&gt;5</formula>
    </cfRule>
  </conditionalFormatting>
  <conditionalFormatting sqref="AH60">
    <cfRule type="expression" priority="741">
      <formula>WEEKDAY(AF$3,2)&gt;5</formula>
    </cfRule>
  </conditionalFormatting>
  <conditionalFormatting sqref="D61:E61">
    <cfRule type="expression" priority="2742">
      <formula>WEEKDAY(B$3,2)&gt;5</formula>
    </cfRule>
  </conditionalFormatting>
  <conditionalFormatting sqref="F61">
    <cfRule type="expression" priority="2560">
      <formula>WEEKDAY(D$3,2)&gt;5</formula>
    </cfRule>
  </conditionalFormatting>
  <conditionalFormatting sqref="G61">
    <cfRule type="expression" priority="2924">
      <formula>WEEKDAY(E$3,2)&gt;5</formula>
    </cfRule>
  </conditionalFormatting>
  <conditionalFormatting sqref="H61">
    <cfRule type="expression" priority="2378">
      <formula>WEEKDAY(F$3,2)&gt;5</formula>
    </cfRule>
  </conditionalFormatting>
  <conditionalFormatting sqref="I61">
    <cfRule type="expression" priority="2196">
      <formula>WEEKDAY(#REF!,2)&gt;5</formula>
    </cfRule>
  </conditionalFormatting>
  <conditionalFormatting sqref="J61">
    <cfRule type="expression" priority="2014">
      <formula>WEEKDAY(#REF!,2)&gt;5</formula>
    </cfRule>
  </conditionalFormatting>
  <conditionalFormatting sqref="K61">
    <cfRule type="expression" priority="3288">
      <formula>WEEKDAY(#REF!,2)&gt;5</formula>
    </cfRule>
  </conditionalFormatting>
  <conditionalFormatting sqref="M61">
    <cfRule type="expression" priority="1832">
      <formula>WEEKDAY(K$3,2)&gt;5</formula>
    </cfRule>
  </conditionalFormatting>
  <conditionalFormatting sqref="O61:R61">
    <cfRule type="expression" priority="1650">
      <formula>WEEKDAY(#REF!,2)&gt;5</formula>
    </cfRule>
  </conditionalFormatting>
  <conditionalFormatting sqref="S61:T61">
    <cfRule type="expression" priority="1468">
      <formula>WEEKDAY(Q$3,2)&gt;5</formula>
    </cfRule>
  </conditionalFormatting>
  <conditionalFormatting sqref="U61:Y61">
    <cfRule type="expression" priority="1286">
      <formula>WEEKDAY(#REF!,2)&gt;5</formula>
    </cfRule>
  </conditionalFormatting>
  <conditionalFormatting sqref="X61:Y61">
    <cfRule type="expression" priority="3106">
      <formula>WEEKDAY(#REF!,2)&gt;5</formula>
    </cfRule>
  </conditionalFormatting>
  <conditionalFormatting sqref="Z61:AA61">
    <cfRule type="expression" priority="1104">
      <formula>WEEKDAY(X$3,2)&gt;5</formula>
    </cfRule>
  </conditionalFormatting>
  <conditionalFormatting sqref="AB61:AF61">
    <cfRule type="expression" priority="922">
      <formula>WEEKDAY(#REF!,2)&gt;5</formula>
    </cfRule>
  </conditionalFormatting>
  <conditionalFormatting sqref="AG61">
    <cfRule type="expression" priority="558">
      <formula>WEEKDAY(AE$3,2)&gt;5</formula>
    </cfRule>
  </conditionalFormatting>
  <conditionalFormatting sqref="AH61">
    <cfRule type="expression" priority="740">
      <formula>WEEKDAY(AF$3,2)&gt;5</formula>
    </cfRule>
  </conditionalFormatting>
  <conditionalFormatting sqref="D62">
    <cfRule type="expression" priority="2741">
      <formula>WEEKDAY(B$3,2)&gt;5</formula>
    </cfRule>
  </conditionalFormatting>
  <conditionalFormatting sqref="E62:I62">
    <cfRule type="expression" priority="261">
      <formula>WEEKDAY(C$3,2)&gt;5</formula>
    </cfRule>
  </conditionalFormatting>
  <conditionalFormatting sqref="J62">
    <cfRule type="expression" priority="2013">
      <formula>WEEKDAY(#REF!,2)&gt;5</formula>
    </cfRule>
  </conditionalFormatting>
  <conditionalFormatting sqref="K62">
    <cfRule type="expression" priority="3287">
      <formula>WEEKDAY(#REF!,2)&gt;5</formula>
    </cfRule>
  </conditionalFormatting>
  <conditionalFormatting sqref="M62">
    <cfRule type="expression" priority="1831">
      <formula>WEEKDAY(K$3,2)&gt;5</formula>
    </cfRule>
  </conditionalFormatting>
  <conditionalFormatting sqref="O62:R62">
    <cfRule type="expression" priority="1649">
      <formula>WEEKDAY(#REF!,2)&gt;5</formula>
    </cfRule>
  </conditionalFormatting>
  <conditionalFormatting sqref="S62:T62">
    <cfRule type="expression" priority="1467">
      <formula>WEEKDAY(Q$3,2)&gt;5</formula>
    </cfRule>
  </conditionalFormatting>
  <conditionalFormatting sqref="U62:X62">
    <cfRule type="expression" priority="1285">
      <formula>WEEKDAY(#REF!,2)&gt;5</formula>
    </cfRule>
  </conditionalFormatting>
  <conditionalFormatting sqref="X62">
    <cfRule type="expression" priority="3105">
      <formula>WEEKDAY(#REF!,2)&gt;5</formula>
    </cfRule>
  </conditionalFormatting>
  <conditionalFormatting sqref="Y62">
    <cfRule type="expression" priority="260">
      <formula>WEEKDAY(#REF!,2)&gt;5</formula>
    </cfRule>
  </conditionalFormatting>
  <conditionalFormatting sqref="Z62:AA62">
    <cfRule type="expression" priority="1103">
      <formula>WEEKDAY(X$3,2)&gt;5</formula>
    </cfRule>
  </conditionalFormatting>
  <conditionalFormatting sqref="AC62">
    <cfRule type="expression" priority="259">
      <formula>WEEKDAY(#REF!,2)&gt;5</formula>
    </cfRule>
  </conditionalFormatting>
  <conditionalFormatting sqref="AG62">
    <cfRule type="expression" priority="557">
      <formula>WEEKDAY(AE$3,2)&gt;5</formula>
    </cfRule>
  </conditionalFormatting>
  <conditionalFormatting sqref="AH62">
    <cfRule type="expression" priority="739">
      <formula>WEEKDAY(AF$3,2)&gt;5</formula>
    </cfRule>
  </conditionalFormatting>
  <conditionalFormatting sqref="D63:E63">
    <cfRule type="expression" priority="2740">
      <formula>WEEKDAY(B$3,2)&gt;5</formula>
    </cfRule>
  </conditionalFormatting>
  <conditionalFormatting sqref="F63">
    <cfRule type="expression" priority="2558">
      <formula>WEEKDAY(D$3,2)&gt;5</formula>
    </cfRule>
  </conditionalFormatting>
  <conditionalFormatting sqref="G63">
    <cfRule type="expression" priority="2922">
      <formula>WEEKDAY(E$3,2)&gt;5</formula>
    </cfRule>
  </conditionalFormatting>
  <conditionalFormatting sqref="H63">
    <cfRule type="expression" priority="2376">
      <formula>WEEKDAY(F$3,2)&gt;5</formula>
    </cfRule>
  </conditionalFormatting>
  <conditionalFormatting sqref="I63">
    <cfRule type="expression" priority="256">
      <formula>WEEKDAY(E$3,2)&gt;5</formula>
    </cfRule>
  </conditionalFormatting>
  <conditionalFormatting sqref="J63">
    <cfRule type="expression" priority="2012">
      <formula>WEEKDAY(#REF!,2)&gt;5</formula>
    </cfRule>
  </conditionalFormatting>
  <conditionalFormatting sqref="K63">
    <cfRule type="expression" priority="3286">
      <formula>WEEKDAY(#REF!,2)&gt;5</formula>
    </cfRule>
  </conditionalFormatting>
  <conditionalFormatting sqref="M63">
    <cfRule type="expression" priority="1830">
      <formula>WEEKDAY(K$3,2)&gt;5</formula>
    </cfRule>
  </conditionalFormatting>
  <conditionalFormatting sqref="Q63">
    <cfRule type="expression" priority="255">
      <formula>WEEKDAY(M$3,2)&gt;5</formula>
    </cfRule>
  </conditionalFormatting>
  <conditionalFormatting sqref="S63:T63">
    <cfRule type="expression" priority="1466">
      <formula>WEEKDAY(Q$3,2)&gt;5</formula>
    </cfRule>
  </conditionalFormatting>
  <conditionalFormatting sqref="U63:Y63">
    <cfRule type="expression" priority="1284">
      <formula>WEEKDAY(#REF!,2)&gt;5</formula>
    </cfRule>
  </conditionalFormatting>
  <conditionalFormatting sqref="X63:Y63">
    <cfRule type="expression" priority="3104">
      <formula>WEEKDAY(#REF!,2)&gt;5</formula>
    </cfRule>
  </conditionalFormatting>
  <conditionalFormatting sqref="Z63:AA63">
    <cfRule type="expression" priority="1102">
      <formula>WEEKDAY(X$3,2)&gt;5</formula>
    </cfRule>
  </conditionalFormatting>
  <conditionalFormatting sqref="AB63:AF63">
    <cfRule type="expression" priority="920">
      <formula>WEEKDAY(#REF!,2)&gt;5</formula>
    </cfRule>
  </conditionalFormatting>
  <conditionalFormatting sqref="AG63">
    <cfRule type="expression" priority="556">
      <formula>WEEKDAY(AE$3,2)&gt;5</formula>
    </cfRule>
  </conditionalFormatting>
  <conditionalFormatting sqref="AH63">
    <cfRule type="expression" priority="738">
      <formula>WEEKDAY(AF$3,2)&gt;5</formula>
    </cfRule>
  </conditionalFormatting>
  <conditionalFormatting sqref="D64:E64">
    <cfRule type="expression" priority="2739">
      <formula>WEEKDAY(B$3,2)&gt;5</formula>
    </cfRule>
  </conditionalFormatting>
  <conditionalFormatting sqref="F64">
    <cfRule type="expression" priority="2557">
      <formula>WEEKDAY(D$3,2)&gt;5</formula>
    </cfRule>
  </conditionalFormatting>
  <conditionalFormatting sqref="G64">
    <cfRule type="expression" priority="2921">
      <formula>WEEKDAY(E$3,2)&gt;5</formula>
    </cfRule>
  </conditionalFormatting>
  <conditionalFormatting sqref="H64">
    <cfRule type="expression" priority="2375">
      <formula>WEEKDAY(F$3,2)&gt;5</formula>
    </cfRule>
  </conditionalFormatting>
  <conditionalFormatting sqref="I64">
    <cfRule type="expression" priority="2193">
      <formula>WEEKDAY(#REF!,2)&gt;5</formula>
    </cfRule>
  </conditionalFormatting>
  <conditionalFormatting sqref="J64">
    <cfRule type="expression" priority="2011">
      <formula>WEEKDAY(#REF!,2)&gt;5</formula>
    </cfRule>
  </conditionalFormatting>
  <conditionalFormatting sqref="K64">
    <cfRule type="expression" priority="3285">
      <formula>WEEKDAY(#REF!,2)&gt;5</formula>
    </cfRule>
  </conditionalFormatting>
  <conditionalFormatting sqref="M64">
    <cfRule type="expression" priority="1829">
      <formula>WEEKDAY(K$3,2)&gt;5</formula>
    </cfRule>
  </conditionalFormatting>
  <conditionalFormatting sqref="O64:R64">
    <cfRule type="expression" priority="1647">
      <formula>WEEKDAY(#REF!,2)&gt;5</formula>
    </cfRule>
  </conditionalFormatting>
  <conditionalFormatting sqref="S64:T64">
    <cfRule type="expression" priority="1465">
      <formula>WEEKDAY(Q$3,2)&gt;5</formula>
    </cfRule>
  </conditionalFormatting>
  <conditionalFormatting sqref="U64:Y64">
    <cfRule type="expression" priority="1283">
      <formula>WEEKDAY(#REF!,2)&gt;5</formula>
    </cfRule>
  </conditionalFormatting>
  <conditionalFormatting sqref="X64:Y64">
    <cfRule type="expression" priority="3103">
      <formula>WEEKDAY(#REF!,2)&gt;5</formula>
    </cfRule>
  </conditionalFormatting>
  <conditionalFormatting sqref="Z64:AA64">
    <cfRule type="expression" priority="1101">
      <formula>WEEKDAY(X$3,2)&gt;5</formula>
    </cfRule>
  </conditionalFormatting>
  <conditionalFormatting sqref="AB64">
    <cfRule type="expression" priority="281">
      <formula>WEEKDAY(X$3,2)&gt;5</formula>
    </cfRule>
  </conditionalFormatting>
  <conditionalFormatting sqref="AC64:AF64">
    <cfRule type="expression" priority="919">
      <formula>WEEKDAY(#REF!,2)&gt;5</formula>
    </cfRule>
  </conditionalFormatting>
  <conditionalFormatting sqref="AG64">
    <cfRule type="expression" priority="555">
      <formula>WEEKDAY(AE$3,2)&gt;5</formula>
    </cfRule>
  </conditionalFormatting>
  <conditionalFormatting sqref="AH64">
    <cfRule type="expression" priority="737">
      <formula>WEEKDAY(AF$3,2)&gt;5</formula>
    </cfRule>
  </conditionalFormatting>
  <conditionalFormatting sqref="D65:E65">
    <cfRule type="expression" priority="2738">
      <formula>WEEKDAY(B$3,2)&gt;5</formula>
    </cfRule>
  </conditionalFormatting>
  <conditionalFormatting sqref="F65">
    <cfRule type="expression" priority="2556">
      <formula>WEEKDAY(D$3,2)&gt;5</formula>
    </cfRule>
  </conditionalFormatting>
  <conditionalFormatting sqref="G65">
    <cfRule type="expression" priority="2920">
      <formula>WEEKDAY(E$3,2)&gt;5</formula>
    </cfRule>
  </conditionalFormatting>
  <conditionalFormatting sqref="H65">
    <cfRule type="expression" priority="2374">
      <formula>WEEKDAY(F$3,2)&gt;5</formula>
    </cfRule>
  </conditionalFormatting>
  <conditionalFormatting sqref="I65">
    <cfRule type="expression" priority="2192">
      <formula>WEEKDAY(#REF!,2)&gt;5</formula>
    </cfRule>
  </conditionalFormatting>
  <conditionalFormatting sqref="J65">
    <cfRule type="expression" priority="2010">
      <formula>WEEKDAY(#REF!,2)&gt;5</formula>
    </cfRule>
  </conditionalFormatting>
  <conditionalFormatting sqref="K65">
    <cfRule type="expression" priority="3284">
      <formula>WEEKDAY(#REF!,2)&gt;5</formula>
    </cfRule>
  </conditionalFormatting>
  <conditionalFormatting sqref="M65">
    <cfRule type="expression" priority="1828">
      <formula>WEEKDAY(K$3,2)&gt;5</formula>
    </cfRule>
  </conditionalFormatting>
  <conditionalFormatting sqref="O65:R65">
    <cfRule type="expression" priority="1646">
      <formula>WEEKDAY(#REF!,2)&gt;5</formula>
    </cfRule>
  </conditionalFormatting>
  <conditionalFormatting sqref="S65:T65">
    <cfRule type="expression" priority="1464">
      <formula>WEEKDAY(Q$3,2)&gt;5</formula>
    </cfRule>
  </conditionalFormatting>
  <conditionalFormatting sqref="U65:Y65">
    <cfRule type="expression" priority="1282">
      <formula>WEEKDAY(#REF!,2)&gt;5</formula>
    </cfRule>
  </conditionalFormatting>
  <conditionalFormatting sqref="X65:Y65">
    <cfRule type="expression" priority="3102">
      <formula>WEEKDAY(#REF!,2)&gt;5</formula>
    </cfRule>
  </conditionalFormatting>
  <conditionalFormatting sqref="Z65:AA65">
    <cfRule type="expression" priority="1100">
      <formula>WEEKDAY(X$3,2)&gt;5</formula>
    </cfRule>
  </conditionalFormatting>
  <conditionalFormatting sqref="AB65:AF65">
    <cfRule type="expression" priority="918">
      <formula>WEEKDAY(#REF!,2)&gt;5</formula>
    </cfRule>
  </conditionalFormatting>
  <conditionalFormatting sqref="AG65">
    <cfRule type="expression" priority="554">
      <formula>WEEKDAY(AE$3,2)&gt;5</formula>
    </cfRule>
  </conditionalFormatting>
  <conditionalFormatting sqref="AH65">
    <cfRule type="expression" priority="736">
      <formula>WEEKDAY(AF$3,2)&gt;5</formula>
    </cfRule>
  </conditionalFormatting>
  <conditionalFormatting sqref="B66">
    <cfRule type="duplicateValues" dxfId="1" priority="15515"/>
  </conditionalFormatting>
  <conditionalFormatting sqref="D66:E66">
    <cfRule type="expression" priority="2737">
      <formula>WEEKDAY(B$3,2)&gt;5</formula>
    </cfRule>
  </conditionalFormatting>
  <conditionalFormatting sqref="F66">
    <cfRule type="expression" priority="2555">
      <formula>WEEKDAY(D$3,2)&gt;5</formula>
    </cfRule>
  </conditionalFormatting>
  <conditionalFormatting sqref="G66">
    <cfRule type="expression" priority="2919">
      <formula>WEEKDAY(E$3,2)&gt;5</formula>
    </cfRule>
  </conditionalFormatting>
  <conditionalFormatting sqref="H66">
    <cfRule type="expression" priority="2373">
      <formula>WEEKDAY(F$3,2)&gt;5</formula>
    </cfRule>
  </conditionalFormatting>
  <conditionalFormatting sqref="I66">
    <cfRule type="expression" priority="2191">
      <formula>WEEKDAY(#REF!,2)&gt;5</formula>
    </cfRule>
  </conditionalFormatting>
  <conditionalFormatting sqref="J66">
    <cfRule type="expression" priority="2009">
      <formula>WEEKDAY(#REF!,2)&gt;5</formula>
    </cfRule>
  </conditionalFormatting>
  <conditionalFormatting sqref="K66">
    <cfRule type="expression" priority="3283">
      <formula>WEEKDAY(#REF!,2)&gt;5</formula>
    </cfRule>
  </conditionalFormatting>
  <conditionalFormatting sqref="M66">
    <cfRule type="expression" priority="1827">
      <formula>WEEKDAY(K$3,2)&gt;5</formula>
    </cfRule>
  </conditionalFormatting>
  <conditionalFormatting sqref="O66:R66">
    <cfRule type="expression" priority="1645">
      <formula>WEEKDAY(#REF!,2)&gt;5</formula>
    </cfRule>
  </conditionalFormatting>
  <conditionalFormatting sqref="S66:T66">
    <cfRule type="expression" priority="1463">
      <formula>WEEKDAY(Q$3,2)&gt;5</formula>
    </cfRule>
  </conditionalFormatting>
  <conditionalFormatting sqref="U66:W66">
    <cfRule type="expression" priority="1281">
      <formula>WEEKDAY(#REF!,2)&gt;5</formula>
    </cfRule>
  </conditionalFormatting>
  <conditionalFormatting sqref="X66">
    <cfRule type="expression" priority="254">
      <formula>WEEKDAY(T$3,2)&gt;5</formula>
    </cfRule>
  </conditionalFormatting>
  <conditionalFormatting sqref="Y66">
    <cfRule type="expression" priority="253">
      <formula>WEEKDAY(#REF!,2)&gt;5</formula>
    </cfRule>
  </conditionalFormatting>
  <conditionalFormatting sqref="Z66:AA66">
    <cfRule type="expression" priority="1099">
      <formula>WEEKDAY(X$3,2)&gt;5</formula>
    </cfRule>
  </conditionalFormatting>
  <conditionalFormatting sqref="AB66:AF66">
    <cfRule type="expression" priority="917">
      <formula>WEEKDAY(#REF!,2)&gt;5</formula>
    </cfRule>
  </conditionalFormatting>
  <conditionalFormatting sqref="AG66">
    <cfRule type="expression" priority="553">
      <formula>WEEKDAY(AE$3,2)&gt;5</formula>
    </cfRule>
  </conditionalFormatting>
  <conditionalFormatting sqref="AH66">
    <cfRule type="expression" priority="735">
      <formula>WEEKDAY(AF$3,2)&gt;5</formula>
    </cfRule>
  </conditionalFormatting>
  <conditionalFormatting sqref="D67:E67">
    <cfRule type="expression" priority="2736">
      <formula>WEEKDAY(B$3,2)&gt;5</formula>
    </cfRule>
  </conditionalFormatting>
  <conditionalFormatting sqref="F67">
    <cfRule type="expression" priority="2554">
      <formula>WEEKDAY(D$3,2)&gt;5</formula>
    </cfRule>
  </conditionalFormatting>
  <conditionalFormatting sqref="G67">
    <cfRule type="expression" priority="2918">
      <formula>WEEKDAY(E$3,2)&gt;5</formula>
    </cfRule>
  </conditionalFormatting>
  <conditionalFormatting sqref="H67">
    <cfRule type="expression" priority="2372">
      <formula>WEEKDAY(F$3,2)&gt;5</formula>
    </cfRule>
  </conditionalFormatting>
  <conditionalFormatting sqref="I67">
    <cfRule type="expression" priority="2190">
      <formula>WEEKDAY(#REF!,2)&gt;5</formula>
    </cfRule>
  </conditionalFormatting>
  <conditionalFormatting sqref="J67">
    <cfRule type="expression" priority="2008">
      <formula>WEEKDAY(#REF!,2)&gt;5</formula>
    </cfRule>
  </conditionalFormatting>
  <conditionalFormatting sqref="K67">
    <cfRule type="expression" priority="3282">
      <formula>WEEKDAY(#REF!,2)&gt;5</formula>
    </cfRule>
  </conditionalFormatting>
  <conditionalFormatting sqref="M67">
    <cfRule type="expression" priority="1826">
      <formula>WEEKDAY(K$3,2)&gt;5</formula>
    </cfRule>
  </conditionalFormatting>
  <conditionalFormatting sqref="O67:R67">
    <cfRule type="expression" priority="1644">
      <formula>WEEKDAY(#REF!,2)&gt;5</formula>
    </cfRule>
  </conditionalFormatting>
  <conditionalFormatting sqref="S67:T67">
    <cfRule type="expression" priority="1462">
      <formula>WEEKDAY(Q$3,2)&gt;5</formula>
    </cfRule>
  </conditionalFormatting>
  <conditionalFormatting sqref="U67:Y67">
    <cfRule type="expression" priority="1280">
      <formula>WEEKDAY(#REF!,2)&gt;5</formula>
    </cfRule>
  </conditionalFormatting>
  <conditionalFormatting sqref="X67:Y67">
    <cfRule type="expression" priority="3100">
      <formula>WEEKDAY(#REF!,2)&gt;5</formula>
    </cfRule>
  </conditionalFormatting>
  <conditionalFormatting sqref="Z67:AA67">
    <cfRule type="expression" priority="1098">
      <formula>WEEKDAY(X$3,2)&gt;5</formula>
    </cfRule>
  </conditionalFormatting>
  <conditionalFormatting sqref="AB67:AF67">
    <cfRule type="expression" priority="916">
      <formula>WEEKDAY(#REF!,2)&gt;5</formula>
    </cfRule>
  </conditionalFormatting>
  <conditionalFormatting sqref="AG67">
    <cfRule type="expression" priority="552">
      <formula>WEEKDAY(AE$3,2)&gt;5</formula>
    </cfRule>
  </conditionalFormatting>
  <conditionalFormatting sqref="AH67">
    <cfRule type="expression" priority="734">
      <formula>WEEKDAY(AF$3,2)&gt;5</formula>
    </cfRule>
  </conditionalFormatting>
  <conditionalFormatting sqref="D68:E68">
    <cfRule type="expression" priority="2735">
      <formula>WEEKDAY(B$3,2)&gt;5</formula>
    </cfRule>
  </conditionalFormatting>
  <conditionalFormatting sqref="F68">
    <cfRule type="expression" priority="2553">
      <formula>WEEKDAY(D$3,2)&gt;5</formula>
    </cfRule>
  </conditionalFormatting>
  <conditionalFormatting sqref="G68">
    <cfRule type="expression" priority="2917">
      <formula>WEEKDAY(E$3,2)&gt;5</formula>
    </cfRule>
  </conditionalFormatting>
  <conditionalFormatting sqref="H68">
    <cfRule type="expression" priority="2371">
      <formula>WEEKDAY(F$3,2)&gt;5</formula>
    </cfRule>
  </conditionalFormatting>
  <conditionalFormatting sqref="I68">
    <cfRule type="expression" priority="2189">
      <formula>WEEKDAY(#REF!,2)&gt;5</formula>
    </cfRule>
  </conditionalFormatting>
  <conditionalFormatting sqref="J68">
    <cfRule type="expression" priority="2007">
      <formula>WEEKDAY(#REF!,2)&gt;5</formula>
    </cfRule>
  </conditionalFormatting>
  <conditionalFormatting sqref="K68">
    <cfRule type="expression" priority="3281">
      <formula>WEEKDAY(#REF!,2)&gt;5</formula>
    </cfRule>
  </conditionalFormatting>
  <conditionalFormatting sqref="M68">
    <cfRule type="expression" priority="1825">
      <formula>WEEKDAY(K$3,2)&gt;5</formula>
    </cfRule>
  </conditionalFormatting>
  <conditionalFormatting sqref="O68:R68">
    <cfRule type="expression" priority="1643">
      <formula>WEEKDAY(#REF!,2)&gt;5</formula>
    </cfRule>
  </conditionalFormatting>
  <conditionalFormatting sqref="S68:T68">
    <cfRule type="expression" priority="1461">
      <formula>WEEKDAY(Q$3,2)&gt;5</formula>
    </cfRule>
  </conditionalFormatting>
  <conditionalFormatting sqref="U68:Y68">
    <cfRule type="expression" priority="1279">
      <formula>WEEKDAY(#REF!,2)&gt;5</formula>
    </cfRule>
  </conditionalFormatting>
  <conditionalFormatting sqref="X68:Y68">
    <cfRule type="expression" priority="3099">
      <formula>WEEKDAY(#REF!,2)&gt;5</formula>
    </cfRule>
  </conditionalFormatting>
  <conditionalFormatting sqref="Z68:AA68">
    <cfRule type="expression" priority="1097">
      <formula>WEEKDAY(X$3,2)&gt;5</formula>
    </cfRule>
  </conditionalFormatting>
  <conditionalFormatting sqref="AB68:AF68">
    <cfRule type="expression" priority="915">
      <formula>WEEKDAY(#REF!,2)&gt;5</formula>
    </cfRule>
  </conditionalFormatting>
  <conditionalFormatting sqref="AG68">
    <cfRule type="expression" priority="551">
      <formula>WEEKDAY(AE$3,2)&gt;5</formula>
    </cfRule>
  </conditionalFormatting>
  <conditionalFormatting sqref="AH68">
    <cfRule type="expression" priority="733">
      <formula>WEEKDAY(AF$3,2)&gt;5</formula>
    </cfRule>
  </conditionalFormatting>
  <conditionalFormatting sqref="B69">
    <cfRule type="duplicateValues" dxfId="1" priority="15544"/>
  </conditionalFormatting>
  <conditionalFormatting sqref="D69:E69">
    <cfRule type="expression" priority="2734">
      <formula>WEEKDAY(B$3,2)&gt;5</formula>
    </cfRule>
  </conditionalFormatting>
  <conditionalFormatting sqref="F69">
    <cfRule type="expression" priority="2552">
      <formula>WEEKDAY(D$3,2)&gt;5</formula>
    </cfRule>
  </conditionalFormatting>
  <conditionalFormatting sqref="G69">
    <cfRule type="expression" priority="2916">
      <formula>WEEKDAY(E$3,2)&gt;5</formula>
    </cfRule>
  </conditionalFormatting>
  <conditionalFormatting sqref="H69">
    <cfRule type="expression" priority="2370">
      <formula>WEEKDAY(F$3,2)&gt;5</formula>
    </cfRule>
  </conditionalFormatting>
  <conditionalFormatting sqref="I69">
    <cfRule type="expression" priority="265">
      <formula>WEEKDAY(#REF!,2)&gt;5</formula>
    </cfRule>
  </conditionalFormatting>
  <conditionalFormatting sqref="J69">
    <cfRule type="expression" priority="2006">
      <formula>WEEKDAY(#REF!,2)&gt;5</formula>
    </cfRule>
  </conditionalFormatting>
  <conditionalFormatting sqref="K69">
    <cfRule type="expression" priority="3280">
      <formula>WEEKDAY(#REF!,2)&gt;5</formula>
    </cfRule>
  </conditionalFormatting>
  <conditionalFormatting sqref="M69">
    <cfRule type="expression" priority="1824">
      <formula>WEEKDAY(K$3,2)&gt;5</formula>
    </cfRule>
  </conditionalFormatting>
  <conditionalFormatting sqref="O69:R69">
    <cfRule type="expression" priority="1642">
      <formula>WEEKDAY(#REF!,2)&gt;5</formula>
    </cfRule>
  </conditionalFormatting>
  <conditionalFormatting sqref="S69:T69">
    <cfRule type="expression" priority="1460">
      <formula>WEEKDAY(Q$3,2)&gt;5</formula>
    </cfRule>
  </conditionalFormatting>
  <conditionalFormatting sqref="U69:Y69">
    <cfRule type="expression" priority="1278">
      <formula>WEEKDAY(#REF!,2)&gt;5</formula>
    </cfRule>
  </conditionalFormatting>
  <conditionalFormatting sqref="X69:Y69">
    <cfRule type="expression" priority="3098">
      <formula>WEEKDAY(#REF!,2)&gt;5</formula>
    </cfRule>
  </conditionalFormatting>
  <conditionalFormatting sqref="Z69:AA69">
    <cfRule type="expression" priority="1096">
      <formula>WEEKDAY(X$3,2)&gt;5</formula>
    </cfRule>
  </conditionalFormatting>
  <conditionalFormatting sqref="AB69:AF69">
    <cfRule type="expression" priority="914">
      <formula>WEEKDAY(#REF!,2)&gt;5</formula>
    </cfRule>
  </conditionalFormatting>
  <conditionalFormatting sqref="AG69">
    <cfRule type="expression" priority="550">
      <formula>WEEKDAY(AE$3,2)&gt;5</formula>
    </cfRule>
  </conditionalFormatting>
  <conditionalFormatting sqref="AH69">
    <cfRule type="expression" priority="732">
      <formula>WEEKDAY(AF$3,2)&gt;5</formula>
    </cfRule>
  </conditionalFormatting>
  <conditionalFormatting sqref="D70:E70">
    <cfRule type="expression" priority="2732">
      <formula>WEEKDAY(B$3,2)&gt;5</formula>
    </cfRule>
  </conditionalFormatting>
  <conditionalFormatting sqref="F70">
    <cfRule type="expression" priority="2550">
      <formula>WEEKDAY(D$3,2)&gt;5</formula>
    </cfRule>
  </conditionalFormatting>
  <conditionalFormatting sqref="G70">
    <cfRule type="expression" priority="2914">
      <formula>WEEKDAY(E$3,2)&gt;5</formula>
    </cfRule>
  </conditionalFormatting>
  <conditionalFormatting sqref="H70">
    <cfRule type="expression" priority="2368">
      <formula>WEEKDAY(F$3,2)&gt;5</formula>
    </cfRule>
  </conditionalFormatting>
  <conditionalFormatting sqref="I70">
    <cfRule type="expression" priority="2186">
      <formula>WEEKDAY(#REF!,2)&gt;5</formula>
    </cfRule>
  </conditionalFormatting>
  <conditionalFormatting sqref="J70">
    <cfRule type="expression" priority="2004">
      <formula>WEEKDAY(#REF!,2)&gt;5</formula>
    </cfRule>
  </conditionalFormatting>
  <conditionalFormatting sqref="K70">
    <cfRule type="expression" priority="3278">
      <formula>WEEKDAY(#REF!,2)&gt;5</formula>
    </cfRule>
  </conditionalFormatting>
  <conditionalFormatting sqref="M70">
    <cfRule type="expression" priority="1822">
      <formula>WEEKDAY(K$3,2)&gt;5</formula>
    </cfRule>
  </conditionalFormatting>
  <conditionalFormatting sqref="O70:R70">
    <cfRule type="expression" priority="1640">
      <formula>WEEKDAY(#REF!,2)&gt;5</formula>
    </cfRule>
  </conditionalFormatting>
  <conditionalFormatting sqref="S70:T70">
    <cfRule type="expression" priority="1458">
      <formula>WEEKDAY(Q$3,2)&gt;5</formula>
    </cfRule>
  </conditionalFormatting>
  <conditionalFormatting sqref="U70">
    <cfRule type="expression" priority="278">
      <formula>WEEKDAY(Q$3,2)&gt;5</formula>
    </cfRule>
  </conditionalFormatting>
  <conditionalFormatting sqref="V70:Y70">
    <cfRule type="expression" priority="1276">
      <formula>WEEKDAY(#REF!,2)&gt;5</formula>
    </cfRule>
  </conditionalFormatting>
  <conditionalFormatting sqref="X70:Y70">
    <cfRule type="expression" priority="3096">
      <formula>WEEKDAY(#REF!,2)&gt;5</formula>
    </cfRule>
  </conditionalFormatting>
  <conditionalFormatting sqref="Z70:AA70">
    <cfRule type="expression" priority="1094">
      <formula>WEEKDAY(X$3,2)&gt;5</formula>
    </cfRule>
  </conditionalFormatting>
  <conditionalFormatting sqref="AB70:AC70">
    <cfRule type="expression" priority="912">
      <formula>WEEKDAY(#REF!,2)&gt;5</formula>
    </cfRule>
  </conditionalFormatting>
  <conditionalFormatting sqref="AD70">
    <cfRule type="expression" priority="277">
      <formula>WEEKDAY(Z$3,2)&gt;5</formula>
    </cfRule>
  </conditionalFormatting>
  <conditionalFormatting sqref="AE70">
    <cfRule type="expression" priority="276">
      <formula>WEEKDAY(AA$3,2)&gt;5</formula>
    </cfRule>
  </conditionalFormatting>
  <conditionalFormatting sqref="AF70">
    <cfRule type="expression" priority="275">
      <formula>WEEKDAY(AB$3,2)&gt;5</formula>
    </cfRule>
  </conditionalFormatting>
  <conditionalFormatting sqref="AG70">
    <cfRule type="expression" priority="548">
      <formula>WEEKDAY(AE$3,2)&gt;5</formula>
    </cfRule>
  </conditionalFormatting>
  <conditionalFormatting sqref="AH70">
    <cfRule type="expression" priority="730">
      <formula>WEEKDAY(AF$3,2)&gt;5</formula>
    </cfRule>
  </conditionalFormatting>
  <conditionalFormatting sqref="D71:E71">
    <cfRule type="expression" priority="2731">
      <formula>WEEKDAY(B$3,2)&gt;5</formula>
    </cfRule>
  </conditionalFormatting>
  <conditionalFormatting sqref="F71">
    <cfRule type="expression" priority="2549">
      <formula>WEEKDAY(D$3,2)&gt;5</formula>
    </cfRule>
  </conditionalFormatting>
  <conditionalFormatting sqref="G71">
    <cfRule type="expression" priority="2913">
      <formula>WEEKDAY(E$3,2)&gt;5</formula>
    </cfRule>
  </conditionalFormatting>
  <conditionalFormatting sqref="H71">
    <cfRule type="expression" priority="2367">
      <formula>WEEKDAY(F$3,2)&gt;5</formula>
    </cfRule>
  </conditionalFormatting>
  <conditionalFormatting sqref="I71">
    <cfRule type="expression" priority="2185">
      <formula>WEEKDAY(#REF!,2)&gt;5</formula>
    </cfRule>
  </conditionalFormatting>
  <conditionalFormatting sqref="J71">
    <cfRule type="expression" priority="2003">
      <formula>WEEKDAY(#REF!,2)&gt;5</formula>
    </cfRule>
  </conditionalFormatting>
  <conditionalFormatting sqref="K71">
    <cfRule type="expression" priority="3277">
      <formula>WEEKDAY(#REF!,2)&gt;5</formula>
    </cfRule>
  </conditionalFormatting>
  <conditionalFormatting sqref="M71">
    <cfRule type="expression" priority="1821">
      <formula>WEEKDAY(K$3,2)&gt;5</formula>
    </cfRule>
  </conditionalFormatting>
  <conditionalFormatting sqref="O71:R71">
    <cfRule type="expression" priority="1639">
      <formula>WEEKDAY(#REF!,2)&gt;5</formula>
    </cfRule>
  </conditionalFormatting>
  <conditionalFormatting sqref="S71:T71">
    <cfRule type="expression" priority="1457">
      <formula>WEEKDAY(Q$3,2)&gt;5</formula>
    </cfRule>
  </conditionalFormatting>
  <conditionalFormatting sqref="U71:Y71">
    <cfRule type="expression" priority="14">
      <formula>WEEKDAY(#REF!,2)&gt;5</formula>
    </cfRule>
  </conditionalFormatting>
  <conditionalFormatting sqref="Z71:AA71">
    <cfRule type="expression" priority="1093">
      <formula>WEEKDAY(X$3,2)&gt;5</formula>
    </cfRule>
  </conditionalFormatting>
  <conditionalFormatting sqref="AB71:AF71">
    <cfRule type="expression" priority="13">
      <formula>WEEKDAY(#REF!,2)&gt;5</formula>
    </cfRule>
  </conditionalFormatting>
  <conditionalFormatting sqref="AG71">
    <cfRule type="expression" priority="547">
      <formula>WEEKDAY(AE$3,2)&gt;5</formula>
    </cfRule>
  </conditionalFormatting>
  <conditionalFormatting sqref="AH71">
    <cfRule type="expression" priority="729">
      <formula>WEEKDAY(AF$3,2)&gt;5</formula>
    </cfRule>
  </conditionalFormatting>
  <conditionalFormatting sqref="B72">
    <cfRule type="duplicateValues" dxfId="1" priority="15449"/>
  </conditionalFormatting>
  <conditionalFormatting sqref="D72:E72">
    <cfRule type="expression" priority="2730">
      <formula>WEEKDAY(B$3,2)&gt;5</formula>
    </cfRule>
  </conditionalFormatting>
  <conditionalFormatting sqref="F72">
    <cfRule type="expression" priority="2548">
      <formula>WEEKDAY(D$3,2)&gt;5</formula>
    </cfRule>
  </conditionalFormatting>
  <conditionalFormatting sqref="G72">
    <cfRule type="expression" priority="2912">
      <formula>WEEKDAY(E$3,2)&gt;5</formula>
    </cfRule>
  </conditionalFormatting>
  <conditionalFormatting sqref="H72">
    <cfRule type="expression" priority="2366">
      <formula>WEEKDAY(F$3,2)&gt;5</formula>
    </cfRule>
  </conditionalFormatting>
  <conditionalFormatting sqref="I72">
    <cfRule type="expression" priority="2184">
      <formula>WEEKDAY(#REF!,2)&gt;5</formula>
    </cfRule>
  </conditionalFormatting>
  <conditionalFormatting sqref="J72">
    <cfRule type="expression" priority="2002">
      <formula>WEEKDAY(#REF!,2)&gt;5</formula>
    </cfRule>
  </conditionalFormatting>
  <conditionalFormatting sqref="K72">
    <cfRule type="expression" priority="3276">
      <formula>WEEKDAY(#REF!,2)&gt;5</formula>
    </cfRule>
  </conditionalFormatting>
  <conditionalFormatting sqref="M72">
    <cfRule type="expression" priority="1820">
      <formula>WEEKDAY(K$3,2)&gt;5</formula>
    </cfRule>
  </conditionalFormatting>
  <conditionalFormatting sqref="O72:R72">
    <cfRule type="expression" priority="18">
      <formula>WEEKDAY(#REF!,2)&gt;5</formula>
    </cfRule>
  </conditionalFormatting>
  <conditionalFormatting sqref="S72:T72">
    <cfRule type="expression" priority="1456">
      <formula>WEEKDAY(Q$3,2)&gt;5</formula>
    </cfRule>
  </conditionalFormatting>
  <conditionalFormatting sqref="X72">
    <cfRule type="expression" priority="274">
      <formula>WEEKDAY(#REF!,2)&gt;5</formula>
    </cfRule>
  </conditionalFormatting>
  <conditionalFormatting sqref="Y72">
    <cfRule type="expression" priority="3094">
      <formula>WEEKDAY(#REF!,2)&gt;5</formula>
    </cfRule>
  </conditionalFormatting>
  <conditionalFormatting sqref="Z72:AA72">
    <cfRule type="expression" priority="1092">
      <formula>WEEKDAY(X$3,2)&gt;5</formula>
    </cfRule>
  </conditionalFormatting>
  <conditionalFormatting sqref="AD72">
    <cfRule type="expression" priority="273">
      <formula>WEEKDAY(#REF!,2)&gt;5</formula>
    </cfRule>
  </conditionalFormatting>
  <conditionalFormatting sqref="AG72">
    <cfRule type="expression" priority="546">
      <formula>WEEKDAY(AE$3,2)&gt;5</formula>
    </cfRule>
  </conditionalFormatting>
  <conditionalFormatting sqref="AH72">
    <cfRule type="expression" priority="728">
      <formula>WEEKDAY(AF$3,2)&gt;5</formula>
    </cfRule>
  </conditionalFormatting>
  <conditionalFormatting sqref="D73:E73">
    <cfRule type="expression" priority="2729">
      <formula>WEEKDAY(B$3,2)&gt;5</formula>
    </cfRule>
  </conditionalFormatting>
  <conditionalFormatting sqref="F73">
    <cfRule type="expression" priority="2547">
      <formula>WEEKDAY(D$3,2)&gt;5</formula>
    </cfRule>
  </conditionalFormatting>
  <conditionalFormatting sqref="G73">
    <cfRule type="expression" priority="2911">
      <formula>WEEKDAY(E$3,2)&gt;5</formula>
    </cfRule>
  </conditionalFormatting>
  <conditionalFormatting sqref="H73">
    <cfRule type="expression" priority="2365">
      <formula>WEEKDAY(F$3,2)&gt;5</formula>
    </cfRule>
  </conditionalFormatting>
  <conditionalFormatting sqref="I73:L73">
    <cfRule type="expression" priority="15">
      <formula>WEEKDAY(#REF!,2)&gt;5</formula>
    </cfRule>
  </conditionalFormatting>
  <conditionalFormatting sqref="M73">
    <cfRule type="expression" priority="1819">
      <formula>WEEKDAY(K$3,2)&gt;5</formula>
    </cfRule>
  </conditionalFormatting>
  <conditionalFormatting sqref="N73">
    <cfRule type="expression" priority="3457">
      <formula>WEEKDAY(#REF!,2)&gt;5</formula>
    </cfRule>
  </conditionalFormatting>
  <conditionalFormatting sqref="O73:R73">
    <cfRule type="expression" priority="1637">
      <formula>WEEKDAY(#REF!,2)&gt;5</formula>
    </cfRule>
  </conditionalFormatting>
  <conditionalFormatting sqref="S73:T73">
    <cfRule type="expression" priority="1455">
      <formula>WEEKDAY(Q$3,2)&gt;5</formula>
    </cfRule>
  </conditionalFormatting>
  <conditionalFormatting sqref="U73:Y73">
    <cfRule type="expression" priority="1273">
      <formula>WEEKDAY(#REF!,2)&gt;5</formula>
    </cfRule>
  </conditionalFormatting>
  <conditionalFormatting sqref="X73:Y73">
    <cfRule type="expression" priority="3093">
      <formula>WEEKDAY(#REF!,2)&gt;5</formula>
    </cfRule>
  </conditionalFormatting>
  <conditionalFormatting sqref="Z73:AA73">
    <cfRule type="expression" priority="1091">
      <formula>WEEKDAY(X$3,2)&gt;5</formula>
    </cfRule>
  </conditionalFormatting>
  <conditionalFormatting sqref="AB73:AF73">
    <cfRule type="expression" priority="909">
      <formula>WEEKDAY(#REF!,2)&gt;5</formula>
    </cfRule>
  </conditionalFormatting>
  <conditionalFormatting sqref="AG73">
    <cfRule type="expression" priority="545">
      <formula>WEEKDAY(AE$3,2)&gt;5</formula>
    </cfRule>
  </conditionalFormatting>
  <conditionalFormatting sqref="AH73">
    <cfRule type="expression" priority="727">
      <formula>WEEKDAY(AF$3,2)&gt;5</formula>
    </cfRule>
  </conditionalFormatting>
  <conditionalFormatting sqref="D74:E74">
    <cfRule type="expression" priority="2728">
      <formula>WEEKDAY(B$3,2)&gt;5</formula>
    </cfRule>
  </conditionalFormatting>
  <conditionalFormatting sqref="F74">
    <cfRule type="expression" priority="2546">
      <formula>WEEKDAY(D$3,2)&gt;5</formula>
    </cfRule>
  </conditionalFormatting>
  <conditionalFormatting sqref="G74">
    <cfRule type="expression" priority="2910">
      <formula>WEEKDAY(E$3,2)&gt;5</formula>
    </cfRule>
  </conditionalFormatting>
  <conditionalFormatting sqref="H74">
    <cfRule type="expression" priority="2364">
      <formula>WEEKDAY(F$3,2)&gt;5</formula>
    </cfRule>
  </conditionalFormatting>
  <conditionalFormatting sqref="I74">
    <cfRule type="expression" priority="280">
      <formula>WEEKDAY(#REF!,2)&gt;5</formula>
    </cfRule>
  </conditionalFormatting>
  <conditionalFormatting sqref="J74">
    <cfRule type="expression" priority="2000">
      <formula>WEEKDAY(#REF!,2)&gt;5</formula>
    </cfRule>
  </conditionalFormatting>
  <conditionalFormatting sqref="K74">
    <cfRule type="expression" priority="3274">
      <formula>WEEKDAY(#REF!,2)&gt;5</formula>
    </cfRule>
  </conditionalFormatting>
  <conditionalFormatting sqref="M74">
    <cfRule type="expression" priority="1818">
      <formula>WEEKDAY(K$3,2)&gt;5</formula>
    </cfRule>
  </conditionalFormatting>
  <conditionalFormatting sqref="O74:R74">
    <cfRule type="expression" priority="1636">
      <formula>WEEKDAY(#REF!,2)&gt;5</formula>
    </cfRule>
  </conditionalFormatting>
  <conditionalFormatting sqref="S74:T74">
    <cfRule type="expression" priority="1454">
      <formula>WEEKDAY(Q$3,2)&gt;5</formula>
    </cfRule>
  </conditionalFormatting>
  <conditionalFormatting sqref="U74:Y74">
    <cfRule type="expression" priority="1272">
      <formula>WEEKDAY(#REF!,2)&gt;5</formula>
    </cfRule>
  </conditionalFormatting>
  <conditionalFormatting sqref="X74:Y74">
    <cfRule type="expression" priority="3092">
      <formula>WEEKDAY(#REF!,2)&gt;5</formula>
    </cfRule>
  </conditionalFormatting>
  <conditionalFormatting sqref="Z74:AA74">
    <cfRule type="expression" priority="1090">
      <formula>WEEKDAY(X$3,2)&gt;5</formula>
    </cfRule>
  </conditionalFormatting>
  <conditionalFormatting sqref="AD74">
    <cfRule type="expression" priority="279">
      <formula>WEEKDAY(Z$3,2)&gt;5</formula>
    </cfRule>
  </conditionalFormatting>
  <conditionalFormatting sqref="AG74">
    <cfRule type="expression" priority="544">
      <formula>WEEKDAY(AE$3,2)&gt;5</formula>
    </cfRule>
  </conditionalFormatting>
  <conditionalFormatting sqref="AH74">
    <cfRule type="expression" priority="726">
      <formula>WEEKDAY(AF$3,2)&gt;5</formula>
    </cfRule>
  </conditionalFormatting>
  <conditionalFormatting sqref="D75:E75">
    <cfRule type="expression" priority="2727">
      <formula>WEEKDAY(B$3,2)&gt;5</formula>
    </cfRule>
  </conditionalFormatting>
  <conditionalFormatting sqref="F75">
    <cfRule type="expression" priority="2545">
      <formula>WEEKDAY(D$3,2)&gt;5</formula>
    </cfRule>
  </conditionalFormatting>
  <conditionalFormatting sqref="G75">
    <cfRule type="expression" priority="2909">
      <formula>WEEKDAY(E$3,2)&gt;5</formula>
    </cfRule>
  </conditionalFormatting>
  <conditionalFormatting sqref="H75">
    <cfRule type="expression" priority="2363">
      <formula>WEEKDAY(F$3,2)&gt;5</formula>
    </cfRule>
  </conditionalFormatting>
  <conditionalFormatting sqref="I75:L75">
    <cfRule type="expression" priority="12">
      <formula>WEEKDAY(#REF!,2)&gt;5</formula>
    </cfRule>
  </conditionalFormatting>
  <conditionalFormatting sqref="M75">
    <cfRule type="expression" priority="1817">
      <formula>WEEKDAY(K$3,2)&gt;5</formula>
    </cfRule>
  </conditionalFormatting>
  <conditionalFormatting sqref="N75:R75">
    <cfRule type="expression" priority="11">
      <formula>WEEKDAY(#REF!,2)&gt;5</formula>
    </cfRule>
  </conditionalFormatting>
  <conditionalFormatting sqref="S75:T75">
    <cfRule type="expression" priority="1453">
      <formula>WEEKDAY(Q$3,2)&gt;5</formula>
    </cfRule>
  </conditionalFormatting>
  <conditionalFormatting sqref="U75:Y75">
    <cfRule type="expression" priority="10">
      <formula>WEEKDAY(#REF!,2)&gt;5</formula>
    </cfRule>
  </conditionalFormatting>
  <conditionalFormatting sqref="Z75:AA75">
    <cfRule type="expression" priority="1089">
      <formula>WEEKDAY(X$3,2)&gt;5</formula>
    </cfRule>
  </conditionalFormatting>
  <conditionalFormatting sqref="AB75:AD75">
    <cfRule type="expression" priority="9">
      <formula>WEEKDAY(#REF!,2)&gt;5</formula>
    </cfRule>
  </conditionalFormatting>
  <conditionalFormatting sqref="AE75">
    <cfRule type="expression" priority="263">
      <formula>WEEKDAY(#REF!,2)&gt;5</formula>
    </cfRule>
  </conditionalFormatting>
  <conditionalFormatting sqref="AF75">
    <cfRule type="expression" priority="8">
      <formula>WEEKDAY(#REF!,2)&gt;5</formula>
    </cfRule>
  </conditionalFormatting>
  <conditionalFormatting sqref="AG75">
    <cfRule type="expression" priority="543">
      <formula>WEEKDAY(AE$3,2)&gt;5</formula>
    </cfRule>
  </conditionalFormatting>
  <conditionalFormatting sqref="AH75">
    <cfRule type="expression" priority="725">
      <formula>WEEKDAY(AF$3,2)&gt;5</formula>
    </cfRule>
  </conditionalFormatting>
  <conditionalFormatting sqref="B76">
    <cfRule type="duplicateValues" dxfId="1" priority="15452"/>
  </conditionalFormatting>
  <conditionalFormatting sqref="D76:E76">
    <cfRule type="expression" priority="2726">
      <formula>WEEKDAY(B$3,2)&gt;5</formula>
    </cfRule>
  </conditionalFormatting>
  <conditionalFormatting sqref="F76">
    <cfRule type="expression" priority="2544">
      <formula>WEEKDAY(D$3,2)&gt;5</formula>
    </cfRule>
  </conditionalFormatting>
  <conditionalFormatting sqref="G76">
    <cfRule type="expression" priority="2908">
      <formula>WEEKDAY(E$3,2)&gt;5</formula>
    </cfRule>
  </conditionalFormatting>
  <conditionalFormatting sqref="H76">
    <cfRule type="expression" priority="2362">
      <formula>WEEKDAY(F$3,2)&gt;5</formula>
    </cfRule>
  </conditionalFormatting>
  <conditionalFormatting sqref="I76">
    <cfRule type="expression" priority="266">
      <formula>WEEKDAY(#REF!,2)&gt;5</formula>
    </cfRule>
  </conditionalFormatting>
  <conditionalFormatting sqref="J76">
    <cfRule type="expression" priority="1998">
      <formula>WEEKDAY(#REF!,2)&gt;5</formula>
    </cfRule>
  </conditionalFormatting>
  <conditionalFormatting sqref="K76">
    <cfRule type="expression" priority="3272">
      <formula>WEEKDAY(#REF!,2)&gt;5</formula>
    </cfRule>
  </conditionalFormatting>
  <conditionalFormatting sqref="L76">
    <cfRule type="expression" priority="268">
      <formula>WEEKDAY(#REF!,2)&gt;5</formula>
    </cfRule>
  </conditionalFormatting>
  <conditionalFormatting sqref="M76">
    <cfRule type="expression" priority="1816">
      <formula>WEEKDAY(K$3,2)&gt;5</formula>
    </cfRule>
  </conditionalFormatting>
  <conditionalFormatting sqref="N76">
    <cfRule type="expression" priority="3454">
      <formula>WEEKDAY(#REF!,2)&gt;5</formula>
    </cfRule>
  </conditionalFormatting>
  <conditionalFormatting sqref="O76:R76">
    <cfRule type="expression" priority="1634">
      <formula>WEEKDAY(#REF!,2)&gt;5</formula>
    </cfRule>
  </conditionalFormatting>
  <conditionalFormatting sqref="S76:T76">
    <cfRule type="expression" priority="1452">
      <formula>WEEKDAY(Q$3,2)&gt;5</formula>
    </cfRule>
  </conditionalFormatting>
  <conditionalFormatting sqref="U76:X76">
    <cfRule type="expression" priority="17">
      <formula>WEEKDAY(#REF!,2)&gt;5</formula>
    </cfRule>
  </conditionalFormatting>
  <conditionalFormatting sqref="Y76">
    <cfRule type="expression" priority="267">
      <formula>WEEKDAY(#REF!,2)&gt;5</formula>
    </cfRule>
  </conditionalFormatting>
  <conditionalFormatting sqref="Z76:AA76">
    <cfRule type="expression" priority="1088">
      <formula>WEEKDAY(X$3,2)&gt;5</formula>
    </cfRule>
  </conditionalFormatting>
  <conditionalFormatting sqref="AB76:AF76">
    <cfRule type="expression" priority="16">
      <formula>WEEKDAY(#REF!,2)&gt;5</formula>
    </cfRule>
  </conditionalFormatting>
  <conditionalFormatting sqref="AG76">
    <cfRule type="expression" priority="542">
      <formula>WEEKDAY(AE$3,2)&gt;5</formula>
    </cfRule>
  </conditionalFormatting>
  <conditionalFormatting sqref="AH76">
    <cfRule type="expression" priority="724">
      <formula>WEEKDAY(AF$3,2)&gt;5</formula>
    </cfRule>
  </conditionalFormatting>
  <conditionalFormatting sqref="D77:E77">
    <cfRule type="expression" priority="2725">
      <formula>WEEKDAY(B$3,2)&gt;5</formula>
    </cfRule>
  </conditionalFormatting>
  <conditionalFormatting sqref="F77">
    <cfRule type="expression" priority="2543">
      <formula>WEEKDAY(D$3,2)&gt;5</formula>
    </cfRule>
  </conditionalFormatting>
  <conditionalFormatting sqref="G77">
    <cfRule type="expression" priority="2907">
      <formula>WEEKDAY(E$3,2)&gt;5</formula>
    </cfRule>
  </conditionalFormatting>
  <conditionalFormatting sqref="H77">
    <cfRule type="expression" priority="2361">
      <formula>WEEKDAY(F$3,2)&gt;5</formula>
    </cfRule>
  </conditionalFormatting>
  <conditionalFormatting sqref="I77">
    <cfRule type="expression" priority="2179">
      <formula>WEEKDAY(#REF!,2)&gt;5</formula>
    </cfRule>
  </conditionalFormatting>
  <conditionalFormatting sqref="J77">
    <cfRule type="expression" priority="1997">
      <formula>WEEKDAY(#REF!,2)&gt;5</formula>
    </cfRule>
  </conditionalFormatting>
  <conditionalFormatting sqref="K77">
    <cfRule type="expression" priority="3271">
      <formula>WEEKDAY(#REF!,2)&gt;5</formula>
    </cfRule>
  </conditionalFormatting>
  <conditionalFormatting sqref="M77">
    <cfRule type="expression" priority="1815">
      <formula>WEEKDAY(K$3,2)&gt;5</formula>
    </cfRule>
  </conditionalFormatting>
  <conditionalFormatting sqref="O77:R77">
    <cfRule type="expression" priority="1633">
      <formula>WEEKDAY(#REF!,2)&gt;5</formula>
    </cfRule>
  </conditionalFormatting>
  <conditionalFormatting sqref="S77:T77">
    <cfRule type="expression" priority="1451">
      <formula>WEEKDAY(Q$3,2)&gt;5</formula>
    </cfRule>
  </conditionalFormatting>
  <conditionalFormatting sqref="X77">
    <cfRule type="expression" priority="262">
      <formula>WEEKDAY(#REF!,2)&gt;5</formula>
    </cfRule>
  </conditionalFormatting>
  <conditionalFormatting sqref="Y77">
    <cfRule type="expression" priority="3089">
      <formula>WEEKDAY(#REF!,2)&gt;5</formula>
    </cfRule>
  </conditionalFormatting>
  <conditionalFormatting sqref="Z77:AA77">
    <cfRule type="expression" priority="1087">
      <formula>WEEKDAY(X$3,2)&gt;5</formula>
    </cfRule>
  </conditionalFormatting>
  <conditionalFormatting sqref="AB77:AF77">
    <cfRule type="expression" priority="905">
      <formula>WEEKDAY(#REF!,2)&gt;5</formula>
    </cfRule>
  </conditionalFormatting>
  <conditionalFormatting sqref="AG77">
    <cfRule type="expression" priority="541">
      <formula>WEEKDAY(AE$3,2)&gt;5</formula>
    </cfRule>
  </conditionalFormatting>
  <conditionalFormatting sqref="AH77">
    <cfRule type="expression" priority="723">
      <formula>WEEKDAY(AF$3,2)&gt;5</formula>
    </cfRule>
  </conditionalFormatting>
  <conditionalFormatting sqref="AN77">
    <cfRule type="expression" priority="8311">
      <formula>WEEKDAY(#REF!,2)&gt;5</formula>
    </cfRule>
  </conditionalFormatting>
  <conditionalFormatting sqref="D78:E78">
    <cfRule type="expression" priority="2724">
      <formula>WEEKDAY(B$3,2)&gt;5</formula>
    </cfRule>
  </conditionalFormatting>
  <conditionalFormatting sqref="F78">
    <cfRule type="expression" priority="2542">
      <formula>WEEKDAY(D$3,2)&gt;5</formula>
    </cfRule>
  </conditionalFormatting>
  <conditionalFormatting sqref="G78">
    <cfRule type="expression" priority="2906">
      <formula>WEEKDAY(E$3,2)&gt;5</formula>
    </cfRule>
  </conditionalFormatting>
  <conditionalFormatting sqref="H78">
    <cfRule type="expression" priority="2360">
      <formula>WEEKDAY(F$3,2)&gt;5</formula>
    </cfRule>
  </conditionalFormatting>
  <conditionalFormatting sqref="I78">
    <cfRule type="expression" priority="272">
      <formula>WEEKDAY(E$3,2)&gt;5</formula>
    </cfRule>
  </conditionalFormatting>
  <conditionalFormatting sqref="J78">
    <cfRule type="expression" priority="1996">
      <formula>WEEKDAY(#REF!,2)&gt;5</formula>
    </cfRule>
  </conditionalFormatting>
  <conditionalFormatting sqref="K78">
    <cfRule type="expression" priority="3270">
      <formula>WEEKDAY(#REF!,2)&gt;5</formula>
    </cfRule>
  </conditionalFormatting>
  <conditionalFormatting sqref="M78">
    <cfRule type="expression" priority="1814">
      <formula>WEEKDAY(K$3,2)&gt;5</formula>
    </cfRule>
  </conditionalFormatting>
  <conditionalFormatting sqref="O78:R78">
    <cfRule type="expression" priority="1632">
      <formula>WEEKDAY(#REF!,2)&gt;5</formula>
    </cfRule>
  </conditionalFormatting>
  <conditionalFormatting sqref="S78:T78">
    <cfRule type="expression" priority="1450">
      <formula>WEEKDAY(Q$3,2)&gt;5</formula>
    </cfRule>
  </conditionalFormatting>
  <conditionalFormatting sqref="U78">
    <cfRule type="expression" priority="271">
      <formula>WEEKDAY(#REF!,2)&gt;5</formula>
    </cfRule>
  </conditionalFormatting>
  <conditionalFormatting sqref="V78:Y78">
    <cfRule type="expression" priority="1268">
      <formula>WEEKDAY(#REF!,2)&gt;5</formula>
    </cfRule>
  </conditionalFormatting>
  <conditionalFormatting sqref="X78:Y78">
    <cfRule type="expression" priority="3088">
      <formula>WEEKDAY(#REF!,2)&gt;5</formula>
    </cfRule>
  </conditionalFormatting>
  <conditionalFormatting sqref="Z78:AA78">
    <cfRule type="expression" priority="1086">
      <formula>WEEKDAY(X$3,2)&gt;5</formula>
    </cfRule>
  </conditionalFormatting>
  <conditionalFormatting sqref="AE78">
    <cfRule type="expression" priority="270">
      <formula>WEEKDAY(#REF!,2)&gt;5</formula>
    </cfRule>
  </conditionalFormatting>
  <conditionalFormatting sqref="AG78">
    <cfRule type="expression" priority="540">
      <formula>WEEKDAY(AE$3,2)&gt;5</formula>
    </cfRule>
  </conditionalFormatting>
  <conditionalFormatting sqref="AH78">
    <cfRule type="expression" priority="722">
      <formula>WEEKDAY(AF$3,2)&gt;5</formula>
    </cfRule>
  </conditionalFormatting>
  <conditionalFormatting sqref="D79:E79">
    <cfRule type="expression" priority="2723">
      <formula>WEEKDAY(B$3,2)&gt;5</formula>
    </cfRule>
  </conditionalFormatting>
  <conditionalFormatting sqref="F79">
    <cfRule type="expression" priority="2541">
      <formula>WEEKDAY(D$3,2)&gt;5</formula>
    </cfRule>
  </conditionalFormatting>
  <conditionalFormatting sqref="G79">
    <cfRule type="expression" priority="2905">
      <formula>WEEKDAY(E$3,2)&gt;5</formula>
    </cfRule>
  </conditionalFormatting>
  <conditionalFormatting sqref="H79">
    <cfRule type="expression" priority="2359">
      <formula>WEEKDAY(F$3,2)&gt;5</formula>
    </cfRule>
  </conditionalFormatting>
  <conditionalFormatting sqref="I79">
    <cfRule type="expression" priority="2177">
      <formula>WEEKDAY(#REF!,2)&gt;5</formula>
    </cfRule>
  </conditionalFormatting>
  <conditionalFormatting sqref="J79">
    <cfRule type="expression" priority="1995">
      <formula>WEEKDAY(#REF!,2)&gt;5</formula>
    </cfRule>
  </conditionalFormatting>
  <conditionalFormatting sqref="K79">
    <cfRule type="expression" priority="3269">
      <formula>WEEKDAY(#REF!,2)&gt;5</formula>
    </cfRule>
  </conditionalFormatting>
  <conditionalFormatting sqref="M79">
    <cfRule type="expression" priority="1813">
      <formula>WEEKDAY(K$3,2)&gt;5</formula>
    </cfRule>
  </conditionalFormatting>
  <conditionalFormatting sqref="O79:R79">
    <cfRule type="expression" priority="1631">
      <formula>WEEKDAY(#REF!,2)&gt;5</formula>
    </cfRule>
  </conditionalFormatting>
  <conditionalFormatting sqref="S79:T79">
    <cfRule type="expression" priority="1449">
      <formula>WEEKDAY(Q$3,2)&gt;5</formula>
    </cfRule>
  </conditionalFormatting>
  <conditionalFormatting sqref="U79:Y79">
    <cfRule type="expression" priority="1267">
      <formula>WEEKDAY(#REF!,2)&gt;5</formula>
    </cfRule>
  </conditionalFormatting>
  <conditionalFormatting sqref="X79:Y79">
    <cfRule type="expression" priority="3087">
      <formula>WEEKDAY(#REF!,2)&gt;5</formula>
    </cfRule>
  </conditionalFormatting>
  <conditionalFormatting sqref="Z79:AA79">
    <cfRule type="expression" priority="1085">
      <formula>WEEKDAY(X$3,2)&gt;5</formula>
    </cfRule>
  </conditionalFormatting>
  <conditionalFormatting sqref="AB79:AF79">
    <cfRule type="expression" priority="903">
      <formula>WEEKDAY(#REF!,2)&gt;5</formula>
    </cfRule>
  </conditionalFormatting>
  <conditionalFormatting sqref="AG79">
    <cfRule type="expression" priority="539">
      <formula>WEEKDAY(AE$3,2)&gt;5</formula>
    </cfRule>
  </conditionalFormatting>
  <conditionalFormatting sqref="AH79">
    <cfRule type="expression" priority="721">
      <formula>WEEKDAY(AF$3,2)&gt;5</formula>
    </cfRule>
  </conditionalFormatting>
  <conditionalFormatting sqref="D80:E80">
    <cfRule type="expression" priority="2722">
      <formula>WEEKDAY(B$3,2)&gt;5</formula>
    </cfRule>
  </conditionalFormatting>
  <conditionalFormatting sqref="F80">
    <cfRule type="expression" priority="2540">
      <formula>WEEKDAY(D$3,2)&gt;5</formula>
    </cfRule>
  </conditionalFormatting>
  <conditionalFormatting sqref="G80">
    <cfRule type="expression" priority="2904">
      <formula>WEEKDAY(E$3,2)&gt;5</formula>
    </cfRule>
  </conditionalFormatting>
  <conditionalFormatting sqref="H80">
    <cfRule type="expression" priority="2358">
      <formula>WEEKDAY(F$3,2)&gt;5</formula>
    </cfRule>
  </conditionalFormatting>
  <conditionalFormatting sqref="I80">
    <cfRule type="expression" priority="2176">
      <formula>WEEKDAY(#REF!,2)&gt;5</formula>
    </cfRule>
  </conditionalFormatting>
  <conditionalFormatting sqref="J80">
    <cfRule type="expression" priority="1994">
      <formula>WEEKDAY(#REF!,2)&gt;5</formula>
    </cfRule>
  </conditionalFormatting>
  <conditionalFormatting sqref="K80">
    <cfRule type="expression" priority="3268">
      <formula>WEEKDAY(#REF!,2)&gt;5</formula>
    </cfRule>
  </conditionalFormatting>
  <conditionalFormatting sqref="M80">
    <cfRule type="expression" priority="1812">
      <formula>WEEKDAY(K$3,2)&gt;5</formula>
    </cfRule>
  </conditionalFormatting>
  <conditionalFormatting sqref="O80:R80">
    <cfRule type="expression" priority="1630">
      <formula>WEEKDAY(#REF!,2)&gt;5</formula>
    </cfRule>
  </conditionalFormatting>
  <conditionalFormatting sqref="S80:T80">
    <cfRule type="expression" priority="1448">
      <formula>WEEKDAY(Q$3,2)&gt;5</formula>
    </cfRule>
  </conditionalFormatting>
  <conditionalFormatting sqref="W80">
    <cfRule type="expression" priority="282">
      <formula>WEEKDAY(S$3,2)&gt;5</formula>
    </cfRule>
  </conditionalFormatting>
  <conditionalFormatting sqref="X80:Y80">
    <cfRule type="expression" priority="3086">
      <formula>WEEKDAY(#REF!,2)&gt;5</formula>
    </cfRule>
  </conditionalFormatting>
  <conditionalFormatting sqref="Z80:AA80">
    <cfRule type="expression" priority="1084">
      <formula>WEEKDAY(X$3,2)&gt;5</formula>
    </cfRule>
  </conditionalFormatting>
  <conditionalFormatting sqref="AB80:AF80">
    <cfRule type="expression" priority="902">
      <formula>WEEKDAY(#REF!,2)&gt;5</formula>
    </cfRule>
  </conditionalFormatting>
  <conditionalFormatting sqref="AG80">
    <cfRule type="expression" priority="538">
      <formula>WEEKDAY(AE$3,2)&gt;5</formula>
    </cfRule>
  </conditionalFormatting>
  <conditionalFormatting sqref="AH80">
    <cfRule type="expression" priority="720">
      <formula>WEEKDAY(AF$3,2)&gt;5</formula>
    </cfRule>
  </conditionalFormatting>
  <conditionalFormatting sqref="D81:E81">
    <cfRule type="expression" priority="2721">
      <formula>WEEKDAY(B$3,2)&gt;5</formula>
    </cfRule>
  </conditionalFormatting>
  <conditionalFormatting sqref="F81">
    <cfRule type="expression" priority="2539">
      <formula>WEEKDAY(D$3,2)&gt;5</formula>
    </cfRule>
  </conditionalFormatting>
  <conditionalFormatting sqref="G81">
    <cfRule type="expression" priority="2903">
      <formula>WEEKDAY(E$3,2)&gt;5</formula>
    </cfRule>
  </conditionalFormatting>
  <conditionalFormatting sqref="H81">
    <cfRule type="expression" priority="2357">
      <formula>WEEKDAY(F$3,2)&gt;5</formula>
    </cfRule>
  </conditionalFormatting>
  <conditionalFormatting sqref="I81">
    <cfRule type="expression" priority="2175">
      <formula>WEEKDAY(#REF!,2)&gt;5</formula>
    </cfRule>
  </conditionalFormatting>
  <conditionalFormatting sqref="J81">
    <cfRule type="expression" priority="1993">
      <formula>WEEKDAY(#REF!,2)&gt;5</formula>
    </cfRule>
  </conditionalFormatting>
  <conditionalFormatting sqref="K81">
    <cfRule type="expression" priority="3267">
      <formula>WEEKDAY(#REF!,2)&gt;5</formula>
    </cfRule>
  </conditionalFormatting>
  <conditionalFormatting sqref="M81">
    <cfRule type="expression" priority="1811">
      <formula>WEEKDAY(K$3,2)&gt;5</formula>
    </cfRule>
  </conditionalFormatting>
  <conditionalFormatting sqref="O81:R81">
    <cfRule type="expression" priority="1629">
      <formula>WEEKDAY(#REF!,2)&gt;5</formula>
    </cfRule>
  </conditionalFormatting>
  <conditionalFormatting sqref="S81:T81">
    <cfRule type="expression" priority="1447">
      <formula>WEEKDAY(Q$3,2)&gt;5</formula>
    </cfRule>
  </conditionalFormatting>
  <conditionalFormatting sqref="U81:Y81">
    <cfRule type="expression" priority="1265">
      <formula>WEEKDAY(#REF!,2)&gt;5</formula>
    </cfRule>
  </conditionalFormatting>
  <conditionalFormatting sqref="X81:Y81">
    <cfRule type="expression" priority="3085">
      <formula>WEEKDAY(#REF!,2)&gt;5</formula>
    </cfRule>
  </conditionalFormatting>
  <conditionalFormatting sqref="Z81:AA81">
    <cfRule type="expression" priority="1083">
      <formula>WEEKDAY(X$3,2)&gt;5</formula>
    </cfRule>
  </conditionalFormatting>
  <conditionalFormatting sqref="AB81:AF81">
    <cfRule type="expression" priority="901">
      <formula>WEEKDAY(#REF!,2)&gt;5</formula>
    </cfRule>
  </conditionalFormatting>
  <conditionalFormatting sqref="AG81">
    <cfRule type="expression" priority="537">
      <formula>WEEKDAY(AE$3,2)&gt;5</formula>
    </cfRule>
  </conditionalFormatting>
  <conditionalFormatting sqref="AH81">
    <cfRule type="expression" priority="719">
      <formula>WEEKDAY(AF$3,2)&gt;5</formula>
    </cfRule>
  </conditionalFormatting>
  <conditionalFormatting sqref="D82:E82">
    <cfRule type="expression" priority="2720">
      <formula>WEEKDAY(B$3,2)&gt;5</formula>
    </cfRule>
  </conditionalFormatting>
  <conditionalFormatting sqref="F82">
    <cfRule type="expression" priority="2538">
      <formula>WEEKDAY(D$3,2)&gt;5</formula>
    </cfRule>
  </conditionalFormatting>
  <conditionalFormatting sqref="G82">
    <cfRule type="expression" priority="2902">
      <formula>WEEKDAY(E$3,2)&gt;5</formula>
    </cfRule>
  </conditionalFormatting>
  <conditionalFormatting sqref="H82">
    <cfRule type="expression" priority="2356">
      <formula>WEEKDAY(F$3,2)&gt;5</formula>
    </cfRule>
  </conditionalFormatting>
  <conditionalFormatting sqref="I82">
    <cfRule type="expression" priority="402">
      <formula>WEEKDAY(E$3,2)&gt;5</formula>
    </cfRule>
  </conditionalFormatting>
  <conditionalFormatting sqref="J82">
    <cfRule type="expression" priority="1992">
      <formula>WEEKDAY(#REF!,2)&gt;5</formula>
    </cfRule>
  </conditionalFormatting>
  <conditionalFormatting sqref="K82">
    <cfRule type="expression" priority="3266">
      <formula>WEEKDAY(#REF!,2)&gt;5</formula>
    </cfRule>
  </conditionalFormatting>
  <conditionalFormatting sqref="M82">
    <cfRule type="expression" priority="1810">
      <formula>WEEKDAY(K$3,2)&gt;5</formula>
    </cfRule>
  </conditionalFormatting>
  <conditionalFormatting sqref="O82:R82">
    <cfRule type="expression" priority="1628">
      <formula>WEEKDAY(#REF!,2)&gt;5</formula>
    </cfRule>
  </conditionalFormatting>
  <conditionalFormatting sqref="S82:T82">
    <cfRule type="expression" priority="1446">
      <formula>WEEKDAY(Q$3,2)&gt;5</formula>
    </cfRule>
  </conditionalFormatting>
  <conditionalFormatting sqref="U82:Y82">
    <cfRule type="expression" priority="1264">
      <formula>WEEKDAY(#REF!,2)&gt;5</formula>
    </cfRule>
  </conditionalFormatting>
  <conditionalFormatting sqref="X82:Y82">
    <cfRule type="expression" priority="3084">
      <formula>WEEKDAY(#REF!,2)&gt;5</formula>
    </cfRule>
  </conditionalFormatting>
  <conditionalFormatting sqref="Z82:AA82">
    <cfRule type="expression" priority="1082">
      <formula>WEEKDAY(X$3,2)&gt;5</formula>
    </cfRule>
  </conditionalFormatting>
  <conditionalFormatting sqref="AB82:AF82">
    <cfRule type="expression" priority="900">
      <formula>WEEKDAY(#REF!,2)&gt;5</formula>
    </cfRule>
  </conditionalFormatting>
  <conditionalFormatting sqref="AG82">
    <cfRule type="expression" priority="536">
      <formula>WEEKDAY(AE$3,2)&gt;5</formula>
    </cfRule>
  </conditionalFormatting>
  <conditionalFormatting sqref="AH82">
    <cfRule type="expression" priority="718">
      <formula>WEEKDAY(AF$3,2)&gt;5</formula>
    </cfRule>
  </conditionalFormatting>
  <conditionalFormatting sqref="D83:E83">
    <cfRule type="expression" priority="2719">
      <formula>WEEKDAY(B$3,2)&gt;5</formula>
    </cfRule>
  </conditionalFormatting>
  <conditionalFormatting sqref="F83">
    <cfRule type="expression" priority="2537">
      <formula>WEEKDAY(D$3,2)&gt;5</formula>
    </cfRule>
  </conditionalFormatting>
  <conditionalFormatting sqref="G83">
    <cfRule type="expression" priority="2901">
      <formula>WEEKDAY(E$3,2)&gt;5</formula>
    </cfRule>
  </conditionalFormatting>
  <conditionalFormatting sqref="H83">
    <cfRule type="expression" priority="2355">
      <formula>WEEKDAY(F$3,2)&gt;5</formula>
    </cfRule>
  </conditionalFormatting>
  <conditionalFormatting sqref="I83">
    <cfRule type="expression" priority="2173">
      <formula>WEEKDAY(#REF!,2)&gt;5</formula>
    </cfRule>
  </conditionalFormatting>
  <conditionalFormatting sqref="J83">
    <cfRule type="expression" priority="1991">
      <formula>WEEKDAY(#REF!,2)&gt;5</formula>
    </cfRule>
  </conditionalFormatting>
  <conditionalFormatting sqref="K83">
    <cfRule type="expression" priority="3265">
      <formula>WEEKDAY(#REF!,2)&gt;5</formula>
    </cfRule>
  </conditionalFormatting>
  <conditionalFormatting sqref="M83">
    <cfRule type="expression" priority="1809">
      <formula>WEEKDAY(K$3,2)&gt;5</formula>
    </cfRule>
  </conditionalFormatting>
  <conditionalFormatting sqref="O83:R83">
    <cfRule type="expression" priority="1627">
      <formula>WEEKDAY(#REF!,2)&gt;5</formula>
    </cfRule>
  </conditionalFormatting>
  <conditionalFormatting sqref="S83:T83">
    <cfRule type="expression" priority="1445">
      <formula>WEEKDAY(Q$3,2)&gt;5</formula>
    </cfRule>
  </conditionalFormatting>
  <conditionalFormatting sqref="U83:Y83">
    <cfRule type="expression" priority="1263">
      <formula>WEEKDAY(#REF!,2)&gt;5</formula>
    </cfRule>
  </conditionalFormatting>
  <conditionalFormatting sqref="X83:Y83">
    <cfRule type="expression" priority="3083">
      <formula>WEEKDAY(#REF!,2)&gt;5</formula>
    </cfRule>
  </conditionalFormatting>
  <conditionalFormatting sqref="Z83:AA83">
    <cfRule type="expression" priority="1081">
      <formula>WEEKDAY(X$3,2)&gt;5</formula>
    </cfRule>
  </conditionalFormatting>
  <conditionalFormatting sqref="AB83:AF83">
    <cfRule type="expression" priority="899">
      <formula>WEEKDAY(#REF!,2)&gt;5</formula>
    </cfRule>
  </conditionalFormatting>
  <conditionalFormatting sqref="AG83">
    <cfRule type="expression" priority="535">
      <formula>WEEKDAY(AE$3,2)&gt;5</formula>
    </cfRule>
  </conditionalFormatting>
  <conditionalFormatting sqref="AH83">
    <cfRule type="expression" priority="717">
      <formula>WEEKDAY(AF$3,2)&gt;5</formula>
    </cfRule>
  </conditionalFormatting>
  <conditionalFormatting sqref="D84:E84">
    <cfRule type="expression" priority="2718">
      <formula>WEEKDAY(B$3,2)&gt;5</formula>
    </cfRule>
  </conditionalFormatting>
  <conditionalFormatting sqref="F84">
    <cfRule type="expression" priority="2536">
      <formula>WEEKDAY(D$3,2)&gt;5</formula>
    </cfRule>
  </conditionalFormatting>
  <conditionalFormatting sqref="G84">
    <cfRule type="expression" priority="2900">
      <formula>WEEKDAY(E$3,2)&gt;5</formula>
    </cfRule>
  </conditionalFormatting>
  <conditionalFormatting sqref="H84">
    <cfRule type="expression" priority="2354">
      <formula>WEEKDAY(F$3,2)&gt;5</formula>
    </cfRule>
  </conditionalFormatting>
  <conditionalFormatting sqref="I84">
    <cfRule type="expression" priority="2172">
      <formula>WEEKDAY(#REF!,2)&gt;5</formula>
    </cfRule>
  </conditionalFormatting>
  <conditionalFormatting sqref="J84">
    <cfRule type="expression" priority="1990">
      <formula>WEEKDAY(#REF!,2)&gt;5</formula>
    </cfRule>
  </conditionalFormatting>
  <conditionalFormatting sqref="K84">
    <cfRule type="expression" priority="3264">
      <formula>WEEKDAY(#REF!,2)&gt;5</formula>
    </cfRule>
  </conditionalFormatting>
  <conditionalFormatting sqref="M84">
    <cfRule type="expression" priority="1808">
      <formula>WEEKDAY(K$3,2)&gt;5</formula>
    </cfRule>
  </conditionalFormatting>
  <conditionalFormatting sqref="O84:R84">
    <cfRule type="expression" priority="1626">
      <formula>WEEKDAY(#REF!,2)&gt;5</formula>
    </cfRule>
  </conditionalFormatting>
  <conditionalFormatting sqref="S84:T84">
    <cfRule type="expression" priority="1444">
      <formula>WEEKDAY(Q$3,2)&gt;5</formula>
    </cfRule>
  </conditionalFormatting>
  <conditionalFormatting sqref="U84:Y84">
    <cfRule type="expression" priority="1262">
      <formula>WEEKDAY(#REF!,2)&gt;5</formula>
    </cfRule>
  </conditionalFormatting>
  <conditionalFormatting sqref="X84:Y84">
    <cfRule type="expression" priority="3082">
      <formula>WEEKDAY(#REF!,2)&gt;5</formula>
    </cfRule>
  </conditionalFormatting>
  <conditionalFormatting sqref="Z84:AA84">
    <cfRule type="expression" priority="1080">
      <formula>WEEKDAY(X$3,2)&gt;5</formula>
    </cfRule>
  </conditionalFormatting>
  <conditionalFormatting sqref="AB84:AF84">
    <cfRule type="expression" priority="898">
      <formula>WEEKDAY(#REF!,2)&gt;5</formula>
    </cfRule>
  </conditionalFormatting>
  <conditionalFormatting sqref="AG84">
    <cfRule type="expression" priority="534">
      <formula>WEEKDAY(AE$3,2)&gt;5</formula>
    </cfRule>
  </conditionalFormatting>
  <conditionalFormatting sqref="AH84">
    <cfRule type="expression" priority="716">
      <formula>WEEKDAY(AF$3,2)&gt;5</formula>
    </cfRule>
  </conditionalFormatting>
  <conditionalFormatting sqref="D85:E85">
    <cfRule type="expression" priority="2717">
      <formula>WEEKDAY(B$3,2)&gt;5</formula>
    </cfRule>
  </conditionalFormatting>
  <conditionalFormatting sqref="F85">
    <cfRule type="expression" priority="2535">
      <formula>WEEKDAY(D$3,2)&gt;5</formula>
    </cfRule>
  </conditionalFormatting>
  <conditionalFormatting sqref="G85">
    <cfRule type="expression" priority="2899">
      <formula>WEEKDAY(E$3,2)&gt;5</formula>
    </cfRule>
  </conditionalFormatting>
  <conditionalFormatting sqref="H85">
    <cfRule type="expression" priority="2353">
      <formula>WEEKDAY(F$3,2)&gt;5</formula>
    </cfRule>
  </conditionalFormatting>
  <conditionalFormatting sqref="I85">
    <cfRule type="expression" priority="2171">
      <formula>WEEKDAY(#REF!,2)&gt;5</formula>
    </cfRule>
  </conditionalFormatting>
  <conditionalFormatting sqref="J85">
    <cfRule type="expression" priority="1989">
      <formula>WEEKDAY(#REF!,2)&gt;5</formula>
    </cfRule>
  </conditionalFormatting>
  <conditionalFormatting sqref="K85">
    <cfRule type="expression" priority="3263">
      <formula>WEEKDAY(#REF!,2)&gt;5</formula>
    </cfRule>
  </conditionalFormatting>
  <conditionalFormatting sqref="M85">
    <cfRule type="expression" priority="1807">
      <formula>WEEKDAY(K$3,2)&gt;5</formula>
    </cfRule>
  </conditionalFormatting>
  <conditionalFormatting sqref="O85:R85">
    <cfRule type="expression" priority="1625">
      <formula>WEEKDAY(#REF!,2)&gt;5</formula>
    </cfRule>
  </conditionalFormatting>
  <conditionalFormatting sqref="S85:T85">
    <cfRule type="expression" priority="1443">
      <formula>WEEKDAY(Q$3,2)&gt;5</formula>
    </cfRule>
  </conditionalFormatting>
  <conditionalFormatting sqref="U85:Y85">
    <cfRule type="expression" priority="1261">
      <formula>WEEKDAY(#REF!,2)&gt;5</formula>
    </cfRule>
  </conditionalFormatting>
  <conditionalFormatting sqref="X85:Y85">
    <cfRule type="expression" priority="3081">
      <formula>WEEKDAY(#REF!,2)&gt;5</formula>
    </cfRule>
  </conditionalFormatting>
  <conditionalFormatting sqref="Z85:AA85">
    <cfRule type="expression" priority="1079">
      <formula>WEEKDAY(X$3,2)&gt;5</formula>
    </cfRule>
  </conditionalFormatting>
  <conditionalFormatting sqref="AB85:AF85">
    <cfRule type="expression" priority="897">
      <formula>WEEKDAY(#REF!,2)&gt;5</formula>
    </cfRule>
  </conditionalFormatting>
  <conditionalFormatting sqref="AG85">
    <cfRule type="expression" priority="533">
      <formula>WEEKDAY(AE$3,2)&gt;5</formula>
    </cfRule>
  </conditionalFormatting>
  <conditionalFormatting sqref="AH85">
    <cfRule type="expression" priority="715">
      <formula>WEEKDAY(AF$3,2)&gt;5</formula>
    </cfRule>
  </conditionalFormatting>
  <conditionalFormatting sqref="D86:E86">
    <cfRule type="expression" priority="2716">
      <formula>WEEKDAY(B$3,2)&gt;5</formula>
    </cfRule>
  </conditionalFormatting>
  <conditionalFormatting sqref="F86">
    <cfRule type="expression" priority="2534">
      <formula>WEEKDAY(D$3,2)&gt;5</formula>
    </cfRule>
  </conditionalFormatting>
  <conditionalFormatting sqref="G86">
    <cfRule type="expression" priority="2898">
      <formula>WEEKDAY(E$3,2)&gt;5</formula>
    </cfRule>
  </conditionalFormatting>
  <conditionalFormatting sqref="H86">
    <cfRule type="expression" priority="2352">
      <formula>WEEKDAY(F$3,2)&gt;5</formula>
    </cfRule>
  </conditionalFormatting>
  <conditionalFormatting sqref="I86:L86">
    <cfRule type="expression" priority="391">
      <formula>WEEKDAY(E$3,2)&gt;5</formula>
    </cfRule>
  </conditionalFormatting>
  <conditionalFormatting sqref="M86">
    <cfRule type="expression" priority="1806">
      <formula>WEEKDAY(K$3,2)&gt;5</formula>
    </cfRule>
  </conditionalFormatting>
  <conditionalFormatting sqref="N86">
    <cfRule type="expression" priority="3444">
      <formula>WEEKDAY(#REF!,2)&gt;5</formula>
    </cfRule>
  </conditionalFormatting>
  <conditionalFormatting sqref="O86:R86">
    <cfRule type="expression" priority="1624">
      <formula>WEEKDAY(#REF!,2)&gt;5</formula>
    </cfRule>
  </conditionalFormatting>
  <conditionalFormatting sqref="S86:T86">
    <cfRule type="expression" priority="1442">
      <formula>WEEKDAY(Q$3,2)&gt;5</formula>
    </cfRule>
  </conditionalFormatting>
  <conditionalFormatting sqref="U86:Y86">
    <cfRule type="expression" priority="1260">
      <formula>WEEKDAY(#REF!,2)&gt;5</formula>
    </cfRule>
  </conditionalFormatting>
  <conditionalFormatting sqref="X86:Y86">
    <cfRule type="expression" priority="3080">
      <formula>WEEKDAY(#REF!,2)&gt;5</formula>
    </cfRule>
  </conditionalFormatting>
  <conditionalFormatting sqref="Z86:AA86">
    <cfRule type="expression" priority="1078">
      <formula>WEEKDAY(X$3,2)&gt;5</formula>
    </cfRule>
  </conditionalFormatting>
  <conditionalFormatting sqref="AB86:AF86">
    <cfRule type="expression" priority="896">
      <formula>WEEKDAY(#REF!,2)&gt;5</formula>
    </cfRule>
  </conditionalFormatting>
  <conditionalFormatting sqref="AG86">
    <cfRule type="expression" priority="532">
      <formula>WEEKDAY(AE$3,2)&gt;5</formula>
    </cfRule>
  </conditionalFormatting>
  <conditionalFormatting sqref="AH86">
    <cfRule type="expression" priority="714">
      <formula>WEEKDAY(AF$3,2)&gt;5</formula>
    </cfRule>
  </conditionalFormatting>
  <conditionalFormatting sqref="D87:E87">
    <cfRule type="expression" priority="2715">
      <formula>WEEKDAY(B$3,2)&gt;5</formula>
    </cfRule>
  </conditionalFormatting>
  <conditionalFormatting sqref="F87">
    <cfRule type="expression" priority="2533">
      <formula>WEEKDAY(D$3,2)&gt;5</formula>
    </cfRule>
  </conditionalFormatting>
  <conditionalFormatting sqref="G87">
    <cfRule type="expression" priority="2897">
      <formula>WEEKDAY(E$3,2)&gt;5</formula>
    </cfRule>
  </conditionalFormatting>
  <conditionalFormatting sqref="H87">
    <cfRule type="expression" priority="2351">
      <formula>WEEKDAY(F$3,2)&gt;5</formula>
    </cfRule>
  </conditionalFormatting>
  <conditionalFormatting sqref="I87">
    <cfRule type="expression" priority="2169">
      <formula>WEEKDAY(#REF!,2)&gt;5</formula>
    </cfRule>
  </conditionalFormatting>
  <conditionalFormatting sqref="J87">
    <cfRule type="expression" priority="1987">
      <formula>WEEKDAY(#REF!,2)&gt;5</formula>
    </cfRule>
  </conditionalFormatting>
  <conditionalFormatting sqref="K87">
    <cfRule type="expression" priority="3261">
      <formula>WEEKDAY(#REF!,2)&gt;5</formula>
    </cfRule>
  </conditionalFormatting>
  <conditionalFormatting sqref="M87">
    <cfRule type="expression" priority="1805">
      <formula>WEEKDAY(K$3,2)&gt;5</formula>
    </cfRule>
  </conditionalFormatting>
  <conditionalFormatting sqref="O87:R87">
    <cfRule type="expression" priority="1623">
      <formula>WEEKDAY(#REF!,2)&gt;5</formula>
    </cfRule>
  </conditionalFormatting>
  <conditionalFormatting sqref="S87:T87">
    <cfRule type="expression" priority="1441">
      <formula>WEEKDAY(Q$3,2)&gt;5</formula>
    </cfRule>
  </conditionalFormatting>
  <conditionalFormatting sqref="U87:Y87">
    <cfRule type="expression" priority="1259">
      <formula>WEEKDAY(#REF!,2)&gt;5</formula>
    </cfRule>
  </conditionalFormatting>
  <conditionalFormatting sqref="X87:Y87">
    <cfRule type="expression" priority="3079">
      <formula>WEEKDAY(#REF!,2)&gt;5</formula>
    </cfRule>
  </conditionalFormatting>
  <conditionalFormatting sqref="Z87:AA87">
    <cfRule type="expression" priority="1077">
      <formula>WEEKDAY(X$3,2)&gt;5</formula>
    </cfRule>
  </conditionalFormatting>
  <conditionalFormatting sqref="AB87:AF87">
    <cfRule type="expression" priority="895">
      <formula>WEEKDAY(#REF!,2)&gt;5</formula>
    </cfRule>
  </conditionalFormatting>
  <conditionalFormatting sqref="AG87">
    <cfRule type="expression" priority="531">
      <formula>WEEKDAY(AE$3,2)&gt;5</formula>
    </cfRule>
  </conditionalFormatting>
  <conditionalFormatting sqref="AH87">
    <cfRule type="expression" priority="713">
      <formula>WEEKDAY(AF$3,2)&gt;5</formula>
    </cfRule>
  </conditionalFormatting>
  <conditionalFormatting sqref="D88:E88">
    <cfRule type="expression" priority="2714">
      <formula>WEEKDAY(B$3,2)&gt;5</formula>
    </cfRule>
  </conditionalFormatting>
  <conditionalFormatting sqref="F88">
    <cfRule type="expression" priority="2532">
      <formula>WEEKDAY(D$3,2)&gt;5</formula>
    </cfRule>
  </conditionalFormatting>
  <conditionalFormatting sqref="G88">
    <cfRule type="expression" priority="2896">
      <formula>WEEKDAY(E$3,2)&gt;5</formula>
    </cfRule>
  </conditionalFormatting>
  <conditionalFormatting sqref="H88">
    <cfRule type="expression" priority="2350">
      <formula>WEEKDAY(F$3,2)&gt;5</formula>
    </cfRule>
  </conditionalFormatting>
  <conditionalFormatting sqref="I88">
    <cfRule type="expression" priority="2168">
      <formula>WEEKDAY(#REF!,2)&gt;5</formula>
    </cfRule>
  </conditionalFormatting>
  <conditionalFormatting sqref="J88">
    <cfRule type="expression" priority="1986">
      <formula>WEEKDAY(#REF!,2)&gt;5</formula>
    </cfRule>
  </conditionalFormatting>
  <conditionalFormatting sqref="K88">
    <cfRule type="expression" priority="3260">
      <formula>WEEKDAY(#REF!,2)&gt;5</formula>
    </cfRule>
  </conditionalFormatting>
  <conditionalFormatting sqref="M88">
    <cfRule type="expression" priority="1804">
      <formula>WEEKDAY(K$3,2)&gt;5</formula>
    </cfRule>
  </conditionalFormatting>
  <conditionalFormatting sqref="O88:R88">
    <cfRule type="expression" priority="1622">
      <formula>WEEKDAY(#REF!,2)&gt;5</formula>
    </cfRule>
  </conditionalFormatting>
  <conditionalFormatting sqref="S88:T88">
    <cfRule type="expression" priority="1440">
      <formula>WEEKDAY(Q$3,2)&gt;5</formula>
    </cfRule>
  </conditionalFormatting>
  <conditionalFormatting sqref="U88:Y88">
    <cfRule type="expression" priority="1258">
      <formula>WEEKDAY(#REF!,2)&gt;5</formula>
    </cfRule>
  </conditionalFormatting>
  <conditionalFormatting sqref="X88:Y88">
    <cfRule type="expression" priority="3078">
      <formula>WEEKDAY(#REF!,2)&gt;5</formula>
    </cfRule>
  </conditionalFormatting>
  <conditionalFormatting sqref="Z88:AA88">
    <cfRule type="expression" priority="1076">
      <formula>WEEKDAY(X$3,2)&gt;5</formula>
    </cfRule>
  </conditionalFormatting>
  <conditionalFormatting sqref="AB88:AF88">
    <cfRule type="expression" priority="894">
      <formula>WEEKDAY(#REF!,2)&gt;5</formula>
    </cfRule>
  </conditionalFormatting>
  <conditionalFormatting sqref="AG88">
    <cfRule type="expression" priority="530">
      <formula>WEEKDAY(AE$3,2)&gt;5</formula>
    </cfRule>
  </conditionalFormatting>
  <conditionalFormatting sqref="AH88">
    <cfRule type="expression" priority="712">
      <formula>WEEKDAY(AF$3,2)&gt;5</formula>
    </cfRule>
  </conditionalFormatting>
  <conditionalFormatting sqref="D89:E89">
    <cfRule type="expression" priority="2713">
      <formula>WEEKDAY(B$3,2)&gt;5</formula>
    </cfRule>
  </conditionalFormatting>
  <conditionalFormatting sqref="F89">
    <cfRule type="expression" priority="2531">
      <formula>WEEKDAY(D$3,2)&gt;5</formula>
    </cfRule>
  </conditionalFormatting>
  <conditionalFormatting sqref="G89">
    <cfRule type="expression" priority="2895">
      <formula>WEEKDAY(E$3,2)&gt;5</formula>
    </cfRule>
  </conditionalFormatting>
  <conditionalFormatting sqref="H89">
    <cfRule type="expression" priority="2349">
      <formula>WEEKDAY(F$3,2)&gt;5</formula>
    </cfRule>
  </conditionalFormatting>
  <conditionalFormatting sqref="I89">
    <cfRule type="expression" priority="2167">
      <formula>WEEKDAY(#REF!,2)&gt;5</formula>
    </cfRule>
  </conditionalFormatting>
  <conditionalFormatting sqref="J89">
    <cfRule type="expression" priority="1985">
      <formula>WEEKDAY(#REF!,2)&gt;5</formula>
    </cfRule>
  </conditionalFormatting>
  <conditionalFormatting sqref="K89">
    <cfRule type="expression" priority="3259">
      <formula>WEEKDAY(#REF!,2)&gt;5</formula>
    </cfRule>
  </conditionalFormatting>
  <conditionalFormatting sqref="M89">
    <cfRule type="expression" priority="1803">
      <formula>WEEKDAY(K$3,2)&gt;5</formula>
    </cfRule>
  </conditionalFormatting>
  <conditionalFormatting sqref="O89:R89">
    <cfRule type="expression" priority="1621">
      <formula>WEEKDAY(#REF!,2)&gt;5</formula>
    </cfRule>
  </conditionalFormatting>
  <conditionalFormatting sqref="S89:T89">
    <cfRule type="expression" priority="1439">
      <formula>WEEKDAY(Q$3,2)&gt;5</formula>
    </cfRule>
  </conditionalFormatting>
  <conditionalFormatting sqref="U89">
    <cfRule type="expression" priority="401">
      <formula>WEEKDAY(#REF!,2)&gt;5</formula>
    </cfRule>
  </conditionalFormatting>
  <conditionalFormatting sqref="V89:Y89">
    <cfRule type="expression" priority="1257">
      <formula>WEEKDAY(#REF!,2)&gt;5</formula>
    </cfRule>
  </conditionalFormatting>
  <conditionalFormatting sqref="X89:Y89">
    <cfRule type="expression" priority="3077">
      <formula>WEEKDAY(#REF!,2)&gt;5</formula>
    </cfRule>
  </conditionalFormatting>
  <conditionalFormatting sqref="Z89:AA89">
    <cfRule type="expression" priority="1075">
      <formula>WEEKDAY(X$3,2)&gt;5</formula>
    </cfRule>
  </conditionalFormatting>
  <conditionalFormatting sqref="AB89:AF89">
    <cfRule type="expression" priority="893">
      <formula>WEEKDAY(#REF!,2)&gt;5</formula>
    </cfRule>
  </conditionalFormatting>
  <conditionalFormatting sqref="AG89">
    <cfRule type="expression" priority="529">
      <formula>WEEKDAY(AE$3,2)&gt;5</formula>
    </cfRule>
  </conditionalFormatting>
  <conditionalFormatting sqref="AH89">
    <cfRule type="expression" priority="711">
      <formula>WEEKDAY(AF$3,2)&gt;5</formula>
    </cfRule>
  </conditionalFormatting>
  <conditionalFormatting sqref="D90:E90">
    <cfRule type="expression" priority="2712">
      <formula>WEEKDAY(B$3,2)&gt;5</formula>
    </cfRule>
  </conditionalFormatting>
  <conditionalFormatting sqref="F90">
    <cfRule type="expression" priority="2530">
      <formula>WEEKDAY(D$3,2)&gt;5</formula>
    </cfRule>
  </conditionalFormatting>
  <conditionalFormatting sqref="G90">
    <cfRule type="expression" priority="2894">
      <formula>WEEKDAY(E$3,2)&gt;5</formula>
    </cfRule>
  </conditionalFormatting>
  <conditionalFormatting sqref="H90">
    <cfRule type="expression" priority="2348">
      <formula>WEEKDAY(F$3,2)&gt;5</formula>
    </cfRule>
  </conditionalFormatting>
  <conditionalFormatting sqref="I90">
    <cfRule type="expression" priority="2166">
      <formula>WEEKDAY(#REF!,2)&gt;5</formula>
    </cfRule>
  </conditionalFormatting>
  <conditionalFormatting sqref="J90">
    <cfRule type="expression" priority="1984">
      <formula>WEEKDAY(#REF!,2)&gt;5</formula>
    </cfRule>
  </conditionalFormatting>
  <conditionalFormatting sqref="K90">
    <cfRule type="expression" priority="3258">
      <formula>WEEKDAY(#REF!,2)&gt;5</formula>
    </cfRule>
  </conditionalFormatting>
  <conditionalFormatting sqref="M90">
    <cfRule type="expression" priority="1802">
      <formula>WEEKDAY(K$3,2)&gt;5</formula>
    </cfRule>
  </conditionalFormatting>
  <conditionalFormatting sqref="O90:R90">
    <cfRule type="expression" priority="1620">
      <formula>WEEKDAY(#REF!,2)&gt;5</formula>
    </cfRule>
  </conditionalFormatting>
  <conditionalFormatting sqref="S90:T90">
    <cfRule type="expression" priority="1438">
      <formula>WEEKDAY(Q$3,2)&gt;5</formula>
    </cfRule>
  </conditionalFormatting>
  <conditionalFormatting sqref="U90:Y90">
    <cfRule type="expression" priority="1256">
      <formula>WEEKDAY(#REF!,2)&gt;5</formula>
    </cfRule>
  </conditionalFormatting>
  <conditionalFormatting sqref="X90:Y90">
    <cfRule type="expression" priority="3076">
      <formula>WEEKDAY(#REF!,2)&gt;5</formula>
    </cfRule>
  </conditionalFormatting>
  <conditionalFormatting sqref="Z90:AA90">
    <cfRule type="expression" priority="1074">
      <formula>WEEKDAY(X$3,2)&gt;5</formula>
    </cfRule>
  </conditionalFormatting>
  <conditionalFormatting sqref="AC90">
    <cfRule type="expression" priority="399">
      <formula>WEEKDAY(#REF!,2)&gt;5</formula>
    </cfRule>
  </conditionalFormatting>
  <conditionalFormatting sqref="AG90">
    <cfRule type="expression" priority="528">
      <formula>WEEKDAY(AE$3,2)&gt;5</formula>
    </cfRule>
  </conditionalFormatting>
  <conditionalFormatting sqref="AH90">
    <cfRule type="expression" priority="710">
      <formula>WEEKDAY(AF$3,2)&gt;5</formula>
    </cfRule>
  </conditionalFormatting>
  <conditionalFormatting sqref="D91:E91">
    <cfRule type="expression" priority="2711">
      <formula>WEEKDAY(B$3,2)&gt;5</formula>
    </cfRule>
  </conditionalFormatting>
  <conditionalFormatting sqref="F91">
    <cfRule type="expression" priority="2529">
      <formula>WEEKDAY(D$3,2)&gt;5</formula>
    </cfRule>
  </conditionalFormatting>
  <conditionalFormatting sqref="G91">
    <cfRule type="expression" priority="2893">
      <formula>WEEKDAY(E$3,2)&gt;5</formula>
    </cfRule>
  </conditionalFormatting>
  <conditionalFormatting sqref="H91">
    <cfRule type="expression" priority="2347">
      <formula>WEEKDAY(F$3,2)&gt;5</formula>
    </cfRule>
  </conditionalFormatting>
  <conditionalFormatting sqref="I91">
    <cfRule type="expression" priority="2165">
      <formula>WEEKDAY(#REF!,2)&gt;5</formula>
    </cfRule>
  </conditionalFormatting>
  <conditionalFormatting sqref="J91">
    <cfRule type="expression" priority="1983">
      <formula>WEEKDAY(#REF!,2)&gt;5</formula>
    </cfRule>
  </conditionalFormatting>
  <conditionalFormatting sqref="K91">
    <cfRule type="expression" priority="3257">
      <formula>WEEKDAY(#REF!,2)&gt;5</formula>
    </cfRule>
  </conditionalFormatting>
  <conditionalFormatting sqref="L91">
    <cfRule type="expression" priority="398">
      <formula>WEEKDAY(#REF!,2)&gt;5</formula>
    </cfRule>
  </conditionalFormatting>
  <conditionalFormatting sqref="M91">
    <cfRule type="expression" priority="1801">
      <formula>WEEKDAY(K$3,2)&gt;5</formula>
    </cfRule>
  </conditionalFormatting>
  <conditionalFormatting sqref="N91">
    <cfRule type="expression" priority="3439">
      <formula>WEEKDAY(#REF!,2)&gt;5</formula>
    </cfRule>
  </conditionalFormatting>
  <conditionalFormatting sqref="O91:P91">
    <cfRule type="expression" priority="1619">
      <formula>WEEKDAY(#REF!,2)&gt;5</formula>
    </cfRule>
  </conditionalFormatting>
  <conditionalFormatting sqref="Q91">
    <cfRule type="expression" priority="397">
      <formula>WEEKDAY(#REF!,2)&gt;5</formula>
    </cfRule>
  </conditionalFormatting>
  <conditionalFormatting sqref="R91">
    <cfRule type="expression" priority="396">
      <formula>WEEKDAY(N$3,2)&gt;5</formula>
    </cfRule>
  </conditionalFormatting>
  <conditionalFormatting sqref="S91:T91">
    <cfRule type="expression" priority="1437">
      <formula>WEEKDAY(Q$3,2)&gt;5</formula>
    </cfRule>
  </conditionalFormatting>
  <conditionalFormatting sqref="U91:Y91">
    <cfRule type="expression" priority="1255">
      <formula>WEEKDAY(#REF!,2)&gt;5</formula>
    </cfRule>
  </conditionalFormatting>
  <conditionalFormatting sqref="X91:Y91">
    <cfRule type="expression" priority="3075">
      <formula>WEEKDAY(#REF!,2)&gt;5</formula>
    </cfRule>
  </conditionalFormatting>
  <conditionalFormatting sqref="Z91:AA91">
    <cfRule type="expression" priority="1073">
      <formula>WEEKDAY(X$3,2)&gt;5</formula>
    </cfRule>
  </conditionalFormatting>
  <conditionalFormatting sqref="AB91:AF91">
    <cfRule type="expression" priority="891">
      <formula>WEEKDAY(#REF!,2)&gt;5</formula>
    </cfRule>
  </conditionalFormatting>
  <conditionalFormatting sqref="AG91">
    <cfRule type="expression" priority="527">
      <formula>WEEKDAY(AE$3,2)&gt;5</formula>
    </cfRule>
  </conditionalFormatting>
  <conditionalFormatting sqref="AH91">
    <cfRule type="expression" priority="709">
      <formula>WEEKDAY(AF$3,2)&gt;5</formula>
    </cfRule>
  </conditionalFormatting>
  <conditionalFormatting sqref="D92:E92">
    <cfRule type="expression" priority="2710">
      <formula>WEEKDAY(B$3,2)&gt;5</formula>
    </cfRule>
  </conditionalFormatting>
  <conditionalFormatting sqref="F92">
    <cfRule type="expression" priority="2528">
      <formula>WEEKDAY(D$3,2)&gt;5</formula>
    </cfRule>
  </conditionalFormatting>
  <conditionalFormatting sqref="G92">
    <cfRule type="expression" priority="2892">
      <formula>WEEKDAY(E$3,2)&gt;5</formula>
    </cfRule>
  </conditionalFormatting>
  <conditionalFormatting sqref="H92">
    <cfRule type="expression" priority="2346">
      <formula>WEEKDAY(F$3,2)&gt;5</formula>
    </cfRule>
  </conditionalFormatting>
  <conditionalFormatting sqref="I92">
    <cfRule type="expression" priority="2164">
      <formula>WEEKDAY(#REF!,2)&gt;5</formula>
    </cfRule>
  </conditionalFormatting>
  <conditionalFormatting sqref="J92">
    <cfRule type="expression" priority="1982">
      <formula>WEEKDAY(#REF!,2)&gt;5</formula>
    </cfRule>
  </conditionalFormatting>
  <conditionalFormatting sqref="K92">
    <cfRule type="expression" priority="3256">
      <formula>WEEKDAY(#REF!,2)&gt;5</formula>
    </cfRule>
  </conditionalFormatting>
  <conditionalFormatting sqref="M92">
    <cfRule type="expression" priority="1800">
      <formula>WEEKDAY(K$3,2)&gt;5</formula>
    </cfRule>
  </conditionalFormatting>
  <conditionalFormatting sqref="P92">
    <cfRule type="expression" priority="215">
      <formula>WEEKDAY(#REF!,2)&gt;5</formula>
    </cfRule>
  </conditionalFormatting>
  <conditionalFormatting sqref="S92:T92">
    <cfRule type="expression" priority="1436">
      <formula>WEEKDAY(Q$3,2)&gt;5</formula>
    </cfRule>
  </conditionalFormatting>
  <conditionalFormatting sqref="U92:Y92">
    <cfRule type="expression" priority="1254">
      <formula>WEEKDAY(#REF!,2)&gt;5</formula>
    </cfRule>
  </conditionalFormatting>
  <conditionalFormatting sqref="X92:Y92">
    <cfRule type="expression" priority="3074">
      <formula>WEEKDAY(#REF!,2)&gt;5</formula>
    </cfRule>
  </conditionalFormatting>
  <conditionalFormatting sqref="Z92:AA92">
    <cfRule type="expression" priority="1072">
      <formula>WEEKDAY(X$3,2)&gt;5</formula>
    </cfRule>
  </conditionalFormatting>
  <conditionalFormatting sqref="AB92:AF92">
    <cfRule type="expression" priority="890">
      <formula>WEEKDAY(#REF!,2)&gt;5</formula>
    </cfRule>
  </conditionalFormatting>
  <conditionalFormatting sqref="AG92">
    <cfRule type="expression" priority="526">
      <formula>WEEKDAY(AE$3,2)&gt;5</formula>
    </cfRule>
  </conditionalFormatting>
  <conditionalFormatting sqref="AH92">
    <cfRule type="expression" priority="708">
      <formula>WEEKDAY(AF$3,2)&gt;5</formula>
    </cfRule>
  </conditionalFormatting>
  <conditionalFormatting sqref="D93:E93">
    <cfRule type="expression" priority="2709">
      <formula>WEEKDAY(B$3,2)&gt;5</formula>
    </cfRule>
  </conditionalFormatting>
  <conditionalFormatting sqref="F93">
    <cfRule type="expression" priority="2527">
      <formula>WEEKDAY(D$3,2)&gt;5</formula>
    </cfRule>
  </conditionalFormatting>
  <conditionalFormatting sqref="G93">
    <cfRule type="expression" priority="2891">
      <formula>WEEKDAY(E$3,2)&gt;5</formula>
    </cfRule>
  </conditionalFormatting>
  <conditionalFormatting sqref="H93">
    <cfRule type="expression" priority="2345">
      <formula>WEEKDAY(F$3,2)&gt;5</formula>
    </cfRule>
  </conditionalFormatting>
  <conditionalFormatting sqref="I93">
    <cfRule type="expression" priority="2163">
      <formula>WEEKDAY(#REF!,2)&gt;5</formula>
    </cfRule>
  </conditionalFormatting>
  <conditionalFormatting sqref="J93">
    <cfRule type="expression" priority="1981">
      <formula>WEEKDAY(#REF!,2)&gt;5</formula>
    </cfRule>
  </conditionalFormatting>
  <conditionalFormatting sqref="K93">
    <cfRule type="expression" priority="3255">
      <formula>WEEKDAY(#REF!,2)&gt;5</formula>
    </cfRule>
  </conditionalFormatting>
  <conditionalFormatting sqref="M93">
    <cfRule type="expression" priority="1799">
      <formula>WEEKDAY(K$3,2)&gt;5</formula>
    </cfRule>
  </conditionalFormatting>
  <conditionalFormatting sqref="O93:R93">
    <cfRule type="expression" priority="1617">
      <formula>WEEKDAY(#REF!,2)&gt;5</formula>
    </cfRule>
  </conditionalFormatting>
  <conditionalFormatting sqref="S93:T93">
    <cfRule type="expression" priority="1435">
      <formula>WEEKDAY(Q$3,2)&gt;5</formula>
    </cfRule>
  </conditionalFormatting>
  <conditionalFormatting sqref="U93:Y93">
    <cfRule type="expression" priority="1253">
      <formula>WEEKDAY(#REF!,2)&gt;5</formula>
    </cfRule>
  </conditionalFormatting>
  <conditionalFormatting sqref="X93:Y93">
    <cfRule type="expression" priority="3073">
      <formula>WEEKDAY(#REF!,2)&gt;5</formula>
    </cfRule>
  </conditionalFormatting>
  <conditionalFormatting sqref="Z93:AA93">
    <cfRule type="expression" priority="1071">
      <formula>WEEKDAY(X$3,2)&gt;5</formula>
    </cfRule>
  </conditionalFormatting>
  <conditionalFormatting sqref="AB93:AF93">
    <cfRule type="expression" priority="889">
      <formula>WEEKDAY(#REF!,2)&gt;5</formula>
    </cfRule>
  </conditionalFormatting>
  <conditionalFormatting sqref="AG93">
    <cfRule type="expression" priority="525">
      <formula>WEEKDAY(AE$3,2)&gt;5</formula>
    </cfRule>
  </conditionalFormatting>
  <conditionalFormatting sqref="AH93">
    <cfRule type="expression" priority="707">
      <formula>WEEKDAY(AF$3,2)&gt;5</formula>
    </cfRule>
  </conditionalFormatting>
  <conditionalFormatting sqref="D94:E94">
    <cfRule type="expression" priority="2708">
      <formula>WEEKDAY(B$3,2)&gt;5</formula>
    </cfRule>
  </conditionalFormatting>
  <conditionalFormatting sqref="F94">
    <cfRule type="expression" priority="2526">
      <formula>WEEKDAY(D$3,2)&gt;5</formula>
    </cfRule>
  </conditionalFormatting>
  <conditionalFormatting sqref="G94">
    <cfRule type="expression" priority="2890">
      <formula>WEEKDAY(E$3,2)&gt;5</formula>
    </cfRule>
  </conditionalFormatting>
  <conditionalFormatting sqref="H94">
    <cfRule type="expression" priority="2344">
      <formula>WEEKDAY(F$3,2)&gt;5</formula>
    </cfRule>
  </conditionalFormatting>
  <conditionalFormatting sqref="I94">
    <cfRule type="expression" priority="2162">
      <formula>WEEKDAY(#REF!,2)&gt;5</formula>
    </cfRule>
  </conditionalFormatting>
  <conditionalFormatting sqref="J94">
    <cfRule type="expression" priority="1980">
      <formula>WEEKDAY(#REF!,2)&gt;5</formula>
    </cfRule>
  </conditionalFormatting>
  <conditionalFormatting sqref="K94">
    <cfRule type="expression" priority="3254">
      <formula>WEEKDAY(#REF!,2)&gt;5</formula>
    </cfRule>
  </conditionalFormatting>
  <conditionalFormatting sqref="M94">
    <cfRule type="expression" priority="1798">
      <formula>WEEKDAY(K$3,2)&gt;5</formula>
    </cfRule>
  </conditionalFormatting>
  <conditionalFormatting sqref="O94:R94">
    <cfRule type="expression" priority="1616">
      <formula>WEEKDAY(#REF!,2)&gt;5</formula>
    </cfRule>
  </conditionalFormatting>
  <conditionalFormatting sqref="S94:T94">
    <cfRule type="expression" priority="1434">
      <formula>WEEKDAY(Q$3,2)&gt;5</formula>
    </cfRule>
  </conditionalFormatting>
  <conditionalFormatting sqref="U94:Y94">
    <cfRule type="expression" priority="1252">
      <formula>WEEKDAY(#REF!,2)&gt;5</formula>
    </cfRule>
  </conditionalFormatting>
  <conditionalFormatting sqref="X94:Y94">
    <cfRule type="expression" priority="3072">
      <formula>WEEKDAY(#REF!,2)&gt;5</formula>
    </cfRule>
  </conditionalFormatting>
  <conditionalFormatting sqref="Z94:AA94">
    <cfRule type="expression" priority="1070">
      <formula>WEEKDAY(X$3,2)&gt;5</formula>
    </cfRule>
  </conditionalFormatting>
  <conditionalFormatting sqref="AB94:AF94">
    <cfRule type="expression" priority="888">
      <formula>WEEKDAY(#REF!,2)&gt;5</formula>
    </cfRule>
  </conditionalFormatting>
  <conditionalFormatting sqref="AG94">
    <cfRule type="expression" priority="524">
      <formula>WEEKDAY(AE$3,2)&gt;5</formula>
    </cfRule>
  </conditionalFormatting>
  <conditionalFormatting sqref="AH94">
    <cfRule type="expression" priority="706">
      <formula>WEEKDAY(AF$3,2)&gt;5</formula>
    </cfRule>
  </conditionalFormatting>
  <conditionalFormatting sqref="F95">
    <cfRule type="expression" priority="2525">
      <formula>WEEKDAY(D$3,2)&gt;5</formula>
    </cfRule>
  </conditionalFormatting>
  <conditionalFormatting sqref="G95">
    <cfRule type="expression" priority="2889">
      <formula>WEEKDAY(E$3,2)&gt;5</formula>
    </cfRule>
  </conditionalFormatting>
  <conditionalFormatting sqref="H95">
    <cfRule type="expression" priority="2343">
      <formula>WEEKDAY(F$3,2)&gt;5</formula>
    </cfRule>
  </conditionalFormatting>
  <conditionalFormatting sqref="I95">
    <cfRule type="expression" priority="394">
      <formula>WEEKDAY(#REF!,2)&gt;5</formula>
    </cfRule>
  </conditionalFormatting>
  <conditionalFormatting sqref="P95">
    <cfRule type="expression" priority="393">
      <formula>WEEKDAY(#REF!,2)&gt;5</formula>
    </cfRule>
  </conditionalFormatting>
  <conditionalFormatting sqref="Q95">
    <cfRule type="expression" priority="392">
      <formula>WEEKDAY(#REF!,2)&gt;5</formula>
    </cfRule>
  </conditionalFormatting>
  <conditionalFormatting sqref="E96:H96">
    <cfRule type="expression" priority="400">
      <formula>WEEKDAY(C$3,2)&gt;5</formula>
    </cfRule>
  </conditionalFormatting>
  <conditionalFormatting sqref="I96">
    <cfRule type="expression" priority="2161">
      <formula>WEEKDAY(#REF!,2)&gt;5</formula>
    </cfRule>
  </conditionalFormatting>
  <conditionalFormatting sqref="D97:T97">
    <cfRule type="expression" priority="395">
      <formula>WEEKDAY(B$3,2)&gt;5</formula>
    </cfRule>
  </conditionalFormatting>
  <conditionalFormatting sqref="D98:E98">
    <cfRule type="expression" priority="2706">
      <formula>WEEKDAY(B$3,2)&gt;5</formula>
    </cfRule>
  </conditionalFormatting>
  <conditionalFormatting sqref="F98">
    <cfRule type="expression" priority="2524">
      <formula>WEEKDAY(D$3,2)&gt;5</formula>
    </cfRule>
  </conditionalFormatting>
  <conditionalFormatting sqref="G98">
    <cfRule type="expression" priority="2888">
      <formula>WEEKDAY(E$3,2)&gt;5</formula>
    </cfRule>
  </conditionalFormatting>
  <conditionalFormatting sqref="H98">
    <cfRule type="expression" priority="2342">
      <formula>WEEKDAY(F$3,2)&gt;5</formula>
    </cfRule>
  </conditionalFormatting>
  <conditionalFormatting sqref="I98">
    <cfRule type="expression" priority="2160">
      <formula>WEEKDAY(#REF!,2)&gt;5</formula>
    </cfRule>
  </conditionalFormatting>
  <conditionalFormatting sqref="J98">
    <cfRule type="expression" priority="1978">
      <formula>WEEKDAY(#REF!,2)&gt;5</formula>
    </cfRule>
  </conditionalFormatting>
  <conditionalFormatting sqref="K98">
    <cfRule type="expression" priority="3252">
      <formula>WEEKDAY(#REF!,2)&gt;5</formula>
    </cfRule>
  </conditionalFormatting>
  <conditionalFormatting sqref="M98">
    <cfRule type="expression" priority="1796">
      <formula>WEEKDAY(K$3,2)&gt;5</formula>
    </cfRule>
  </conditionalFormatting>
  <conditionalFormatting sqref="O98:R98">
    <cfRule type="expression" priority="1614">
      <formula>WEEKDAY(#REF!,2)&gt;5</formula>
    </cfRule>
  </conditionalFormatting>
  <conditionalFormatting sqref="S98:T98">
    <cfRule type="expression" priority="1432">
      <formula>WEEKDAY(Q$3,2)&gt;5</formula>
    </cfRule>
  </conditionalFormatting>
  <conditionalFormatting sqref="U98:Y98">
    <cfRule type="expression" priority="1250">
      <formula>WEEKDAY(#REF!,2)&gt;5</formula>
    </cfRule>
  </conditionalFormatting>
  <conditionalFormatting sqref="X98:Y98">
    <cfRule type="expression" priority="3070">
      <formula>WEEKDAY(#REF!,2)&gt;5</formula>
    </cfRule>
  </conditionalFormatting>
  <conditionalFormatting sqref="Z98:AA98">
    <cfRule type="expression" priority="1068">
      <formula>WEEKDAY(X$3,2)&gt;5</formula>
    </cfRule>
  </conditionalFormatting>
  <conditionalFormatting sqref="AB98:AF98">
    <cfRule type="expression" priority="886">
      <formula>WEEKDAY(#REF!,2)&gt;5</formula>
    </cfRule>
  </conditionalFormatting>
  <conditionalFormatting sqref="AG98">
    <cfRule type="expression" priority="522">
      <formula>WEEKDAY(AE$3,2)&gt;5</formula>
    </cfRule>
  </conditionalFormatting>
  <conditionalFormatting sqref="AH98">
    <cfRule type="expression" priority="704">
      <formula>WEEKDAY(AF$3,2)&gt;5</formula>
    </cfRule>
  </conditionalFormatting>
  <conditionalFormatting sqref="D99:E99">
    <cfRule type="expression" priority="2705">
      <formula>WEEKDAY(B$3,2)&gt;5</formula>
    </cfRule>
  </conditionalFormatting>
  <conditionalFormatting sqref="F99">
    <cfRule type="expression" priority="2523">
      <formula>WEEKDAY(D$3,2)&gt;5</formula>
    </cfRule>
  </conditionalFormatting>
  <conditionalFormatting sqref="G99">
    <cfRule type="expression" priority="2887">
      <formula>WEEKDAY(E$3,2)&gt;5</formula>
    </cfRule>
  </conditionalFormatting>
  <conditionalFormatting sqref="H99">
    <cfRule type="expression" priority="2341">
      <formula>WEEKDAY(F$3,2)&gt;5</formula>
    </cfRule>
  </conditionalFormatting>
  <conditionalFormatting sqref="I99">
    <cfRule type="expression" priority="2159">
      <formula>WEEKDAY(#REF!,2)&gt;5</formula>
    </cfRule>
  </conditionalFormatting>
  <conditionalFormatting sqref="J99">
    <cfRule type="expression" priority="1977">
      <formula>WEEKDAY(#REF!,2)&gt;5</formula>
    </cfRule>
  </conditionalFormatting>
  <conditionalFormatting sqref="K99">
    <cfRule type="expression" priority="3251">
      <formula>WEEKDAY(#REF!,2)&gt;5</formula>
    </cfRule>
  </conditionalFormatting>
  <conditionalFormatting sqref="M99">
    <cfRule type="expression" priority="1795">
      <formula>WEEKDAY(K$3,2)&gt;5</formula>
    </cfRule>
  </conditionalFormatting>
  <conditionalFormatting sqref="O99:R99">
    <cfRule type="expression" priority="1613">
      <formula>WEEKDAY(#REF!,2)&gt;5</formula>
    </cfRule>
  </conditionalFormatting>
  <conditionalFormatting sqref="S99:T99">
    <cfRule type="expression" priority="1431">
      <formula>WEEKDAY(Q$3,2)&gt;5</formula>
    </cfRule>
  </conditionalFormatting>
  <conditionalFormatting sqref="U99:Y99">
    <cfRule type="expression" priority="1249">
      <formula>WEEKDAY(#REF!,2)&gt;5</formula>
    </cfRule>
  </conditionalFormatting>
  <conditionalFormatting sqref="X99:Y99">
    <cfRule type="expression" priority="3069">
      <formula>WEEKDAY(#REF!,2)&gt;5</formula>
    </cfRule>
  </conditionalFormatting>
  <conditionalFormatting sqref="Z99:AA99">
    <cfRule type="expression" priority="1067">
      <formula>WEEKDAY(X$3,2)&gt;5</formula>
    </cfRule>
  </conditionalFormatting>
  <conditionalFormatting sqref="AB99:AF99">
    <cfRule type="expression" priority="885">
      <formula>WEEKDAY(#REF!,2)&gt;5</formula>
    </cfRule>
  </conditionalFormatting>
  <conditionalFormatting sqref="AG99">
    <cfRule type="expression" priority="521">
      <formula>WEEKDAY(AE$3,2)&gt;5</formula>
    </cfRule>
  </conditionalFormatting>
  <conditionalFormatting sqref="AH99">
    <cfRule type="expression" priority="703">
      <formula>WEEKDAY(AF$3,2)&gt;5</formula>
    </cfRule>
  </conditionalFormatting>
  <conditionalFormatting sqref="B100">
    <cfRule type="duplicateValues" dxfId="1" priority="15516"/>
  </conditionalFormatting>
  <conditionalFormatting sqref="D100:E100">
    <cfRule type="expression" priority="2704">
      <formula>WEEKDAY(B$3,2)&gt;5</formula>
    </cfRule>
  </conditionalFormatting>
  <conditionalFormatting sqref="F100">
    <cfRule type="expression" priority="2522">
      <formula>WEEKDAY(D$3,2)&gt;5</formula>
    </cfRule>
  </conditionalFormatting>
  <conditionalFormatting sqref="G100">
    <cfRule type="expression" priority="2886">
      <formula>WEEKDAY(E$3,2)&gt;5</formula>
    </cfRule>
  </conditionalFormatting>
  <conditionalFormatting sqref="H100">
    <cfRule type="expression" priority="2340">
      <formula>WEEKDAY(F$3,2)&gt;5</formula>
    </cfRule>
  </conditionalFormatting>
  <conditionalFormatting sqref="I100">
    <cfRule type="expression" priority="364">
      <formula>WEEKDAY(#REF!,2)&gt;5</formula>
    </cfRule>
  </conditionalFormatting>
  <conditionalFormatting sqref="J100">
    <cfRule type="expression" priority="1976">
      <formula>WEEKDAY(#REF!,2)&gt;5</formula>
    </cfRule>
  </conditionalFormatting>
  <conditionalFormatting sqref="K100">
    <cfRule type="expression" priority="3250">
      <formula>WEEKDAY(#REF!,2)&gt;5</formula>
    </cfRule>
  </conditionalFormatting>
  <conditionalFormatting sqref="L100">
    <cfRule type="expression" priority="3432">
      <formula>WEEKDAY(#REF!,2)&gt;5</formula>
    </cfRule>
  </conditionalFormatting>
  <conditionalFormatting sqref="M100">
    <cfRule type="expression" priority="1794">
      <formula>WEEKDAY(K$3,2)&gt;5</formula>
    </cfRule>
  </conditionalFormatting>
  <conditionalFormatting sqref="N100:O100">
    <cfRule type="expression" priority="363">
      <formula>WEEKDAY(#REF!,2)&gt;5</formula>
    </cfRule>
  </conditionalFormatting>
  <conditionalFormatting sqref="P100:R100">
    <cfRule type="expression" priority="1612">
      <formula>WEEKDAY(#REF!,2)&gt;5</formula>
    </cfRule>
  </conditionalFormatting>
  <conditionalFormatting sqref="S100:T100">
    <cfRule type="expression" priority="1430">
      <formula>WEEKDAY(Q$3,2)&gt;5</formula>
    </cfRule>
  </conditionalFormatting>
  <conditionalFormatting sqref="W100">
    <cfRule type="expression" priority="362">
      <formula>WEEKDAY(#REF!,2)&gt;5</formula>
    </cfRule>
  </conditionalFormatting>
  <conditionalFormatting sqref="X100:Y100">
    <cfRule type="expression" priority="3068">
      <formula>WEEKDAY(#REF!,2)&gt;5</formula>
    </cfRule>
  </conditionalFormatting>
  <conditionalFormatting sqref="Z100:AA100">
    <cfRule type="expression" priority="1066">
      <formula>WEEKDAY(X$3,2)&gt;5</formula>
    </cfRule>
  </conditionalFormatting>
  <conditionalFormatting sqref="AB100:AF100">
    <cfRule type="expression" priority="884">
      <formula>WEEKDAY(#REF!,2)&gt;5</formula>
    </cfRule>
  </conditionalFormatting>
  <conditionalFormatting sqref="AG100">
    <cfRule type="expression" priority="520">
      <formula>WEEKDAY(AE$3,2)&gt;5</formula>
    </cfRule>
  </conditionalFormatting>
  <conditionalFormatting sqref="AH100">
    <cfRule type="expression" priority="702">
      <formula>WEEKDAY(AF$3,2)&gt;5</formula>
    </cfRule>
  </conditionalFormatting>
  <conditionalFormatting sqref="B101">
    <cfRule type="duplicateValues" dxfId="1" priority="15509"/>
  </conditionalFormatting>
  <conditionalFormatting sqref="D101:E101">
    <cfRule type="expression" priority="388">
      <formula>WEEKDAY(B$3,2)&gt;5</formula>
    </cfRule>
  </conditionalFormatting>
  <conditionalFormatting sqref="F101">
    <cfRule type="expression" priority="387">
      <formula>WEEKDAY(D$3,2)&gt;5</formula>
    </cfRule>
  </conditionalFormatting>
  <conditionalFormatting sqref="G101">
    <cfRule type="expression" priority="390">
      <formula>WEEKDAY(E$3,2)&gt;5</formula>
    </cfRule>
  </conditionalFormatting>
  <conditionalFormatting sqref="H101">
    <cfRule type="expression" priority="386">
      <formula>WEEKDAY(F$3,2)&gt;5</formula>
    </cfRule>
  </conditionalFormatting>
  <conditionalFormatting sqref="I101:K101">
    <cfRule type="expression" priority="385">
      <formula>WEEKDAY(#REF!,2)&gt;5</formula>
    </cfRule>
  </conditionalFormatting>
  <conditionalFormatting sqref="L101:M101">
    <cfRule type="expression" priority="389">
      <formula>WEEKDAY(#REF!,2)&gt;5</formula>
    </cfRule>
  </conditionalFormatting>
  <conditionalFormatting sqref="N101:AH101">
    <cfRule type="expression" priority="384">
      <formula>WEEKDAY(#REF!,2)&gt;5</formula>
    </cfRule>
  </conditionalFormatting>
  <conditionalFormatting sqref="D102:E102">
    <cfRule type="expression" priority="382">
      <formula>WEEKDAY(B$3,2)&gt;5</formula>
    </cfRule>
  </conditionalFormatting>
  <conditionalFormatting sqref="F102">
    <cfRule type="expression" priority="381">
      <formula>WEEKDAY(D$3,2)&gt;5</formula>
    </cfRule>
  </conditionalFormatting>
  <conditionalFormatting sqref="G102">
    <cfRule type="expression" priority="383">
      <formula>WEEKDAY(E$3,2)&gt;5</formula>
    </cfRule>
  </conditionalFormatting>
  <conditionalFormatting sqref="H102">
    <cfRule type="expression" priority="380">
      <formula>WEEKDAY(F$3,2)&gt;5</formula>
    </cfRule>
  </conditionalFormatting>
  <conditionalFormatting sqref="I102:L102">
    <cfRule type="expression" priority="367">
      <formula>WEEKDAY(#REF!,2)&gt;5</formula>
    </cfRule>
  </conditionalFormatting>
  <conditionalFormatting sqref="M102">
    <cfRule type="expression" priority="378">
      <formula>WEEKDAY(K$3,2)&gt;5</formula>
    </cfRule>
  </conditionalFormatting>
  <conditionalFormatting sqref="N102">
    <cfRule type="expression" priority="370">
      <formula>WEEKDAY(#REF!,2)&gt;5</formula>
    </cfRule>
  </conditionalFormatting>
  <conditionalFormatting sqref="O102:R102">
    <cfRule type="expression" priority="377">
      <formula>WEEKDAY(#REF!,2)&gt;5</formula>
    </cfRule>
  </conditionalFormatting>
  <conditionalFormatting sqref="S102:T102">
    <cfRule type="expression" priority="376">
      <formula>WEEKDAY(Q$3,2)&gt;5</formula>
    </cfRule>
  </conditionalFormatting>
  <conditionalFormatting sqref="U102:V102">
    <cfRule type="expression" priority="375">
      <formula>WEEKDAY(#REF!,2)&gt;5</formula>
    </cfRule>
  </conditionalFormatting>
  <conditionalFormatting sqref="W102">
    <cfRule type="expression" priority="366">
      <formula>WEEKDAY(#REF!,2)&gt;5</formula>
    </cfRule>
  </conditionalFormatting>
  <conditionalFormatting sqref="X102">
    <cfRule type="expression" priority="374">
      <formula>WEEKDAY(#REF!,2)&gt;5</formula>
    </cfRule>
  </conditionalFormatting>
  <conditionalFormatting sqref="Y102">
    <cfRule type="expression" priority="369">
      <formula>WEEKDAY(#REF!,2)&gt;5</formula>
    </cfRule>
  </conditionalFormatting>
  <conditionalFormatting sqref="Z102:AA102">
    <cfRule type="expression" priority="373">
      <formula>WEEKDAY(X$3,2)&gt;5</formula>
    </cfRule>
  </conditionalFormatting>
  <conditionalFormatting sqref="AB102">
    <cfRule type="expression" priority="372">
      <formula>WEEKDAY(#REF!,2)&gt;5</formula>
    </cfRule>
  </conditionalFormatting>
  <conditionalFormatting sqref="AC102">
    <cfRule type="expression" priority="371">
      <formula>WEEKDAY(#REF!,2)&gt;5</formula>
    </cfRule>
  </conditionalFormatting>
  <conditionalFormatting sqref="AE102">
    <cfRule type="expression" priority="365">
      <formula>WEEKDAY(#REF!,2)&gt;5</formula>
    </cfRule>
  </conditionalFormatting>
  <conditionalFormatting sqref="AG102:AH102">
    <cfRule type="expression" priority="379">
      <formula>WEEKDAY(#REF!,2)&gt;5</formula>
    </cfRule>
  </conditionalFormatting>
  <conditionalFormatting sqref="D103:E103">
    <cfRule type="expression" priority="2700">
      <formula>WEEKDAY(B$3,2)&gt;5</formula>
    </cfRule>
  </conditionalFormatting>
  <conditionalFormatting sqref="F103">
    <cfRule type="expression" priority="2518">
      <formula>WEEKDAY(D$3,2)&gt;5</formula>
    </cfRule>
  </conditionalFormatting>
  <conditionalFormatting sqref="G103">
    <cfRule type="expression" priority="2882">
      <formula>WEEKDAY(E$3,2)&gt;5</formula>
    </cfRule>
  </conditionalFormatting>
  <conditionalFormatting sqref="H103">
    <cfRule type="expression" priority="2336">
      <formula>WEEKDAY(F$3,2)&gt;5</formula>
    </cfRule>
  </conditionalFormatting>
  <conditionalFormatting sqref="I103">
    <cfRule type="expression" priority="2154">
      <formula>WEEKDAY(#REF!,2)&gt;5</formula>
    </cfRule>
  </conditionalFormatting>
  <conditionalFormatting sqref="J103">
    <cfRule type="expression" priority="1972">
      <formula>WEEKDAY(#REF!,2)&gt;5</formula>
    </cfRule>
  </conditionalFormatting>
  <conditionalFormatting sqref="K103">
    <cfRule type="expression" priority="3246">
      <formula>WEEKDAY(#REF!,2)&gt;5</formula>
    </cfRule>
  </conditionalFormatting>
  <conditionalFormatting sqref="M103">
    <cfRule type="expression" priority="1790">
      <formula>WEEKDAY(K$3,2)&gt;5</formula>
    </cfRule>
  </conditionalFormatting>
  <conditionalFormatting sqref="O103">
    <cfRule type="expression" priority="1608">
      <formula>WEEKDAY(#REF!,2)&gt;5</formula>
    </cfRule>
  </conditionalFormatting>
  <conditionalFormatting sqref="P103">
    <cfRule type="expression" priority="361">
      <formula>WEEKDAY(#REF!,2)&gt;5</formula>
    </cfRule>
  </conditionalFormatting>
  <conditionalFormatting sqref="Q103">
    <cfRule type="expression" priority="360">
      <formula>WEEKDAY(#REF!,2)&gt;5</formula>
    </cfRule>
  </conditionalFormatting>
  <conditionalFormatting sqref="R103">
    <cfRule type="expression" priority="359">
      <formula>WEEKDAY(#REF!,2)&gt;5</formula>
    </cfRule>
  </conditionalFormatting>
  <conditionalFormatting sqref="S103:T103">
    <cfRule type="expression" priority="1426">
      <formula>WEEKDAY(Q$3,2)&gt;5</formula>
    </cfRule>
  </conditionalFormatting>
  <conditionalFormatting sqref="U103">
    <cfRule type="expression" priority="358">
      <formula>WEEKDAY(#REF!,2)&gt;5</formula>
    </cfRule>
  </conditionalFormatting>
  <conditionalFormatting sqref="V103:Y103">
    <cfRule type="expression" priority="1244">
      <formula>WEEKDAY(#REF!,2)&gt;5</formula>
    </cfRule>
  </conditionalFormatting>
  <conditionalFormatting sqref="X103:Y103">
    <cfRule type="expression" priority="3064">
      <formula>WEEKDAY(#REF!,2)&gt;5</formula>
    </cfRule>
  </conditionalFormatting>
  <conditionalFormatting sqref="Z103:AA103">
    <cfRule type="expression" priority="1062">
      <formula>WEEKDAY(X$3,2)&gt;5</formula>
    </cfRule>
  </conditionalFormatting>
  <conditionalFormatting sqref="AB103:AF103">
    <cfRule type="expression" priority="880">
      <formula>WEEKDAY(#REF!,2)&gt;5</formula>
    </cfRule>
  </conditionalFormatting>
  <conditionalFormatting sqref="AG103">
    <cfRule type="expression" priority="516">
      <formula>WEEKDAY(AE$3,2)&gt;5</formula>
    </cfRule>
  </conditionalFormatting>
  <conditionalFormatting sqref="AH103">
    <cfRule type="expression" priority="698">
      <formula>WEEKDAY(AF$3,2)&gt;5</formula>
    </cfRule>
  </conditionalFormatting>
  <conditionalFormatting sqref="B104">
    <cfRule type="duplicateValues" dxfId="1" priority="15517"/>
  </conditionalFormatting>
  <conditionalFormatting sqref="D104">
    <cfRule type="expression" priority="354">
      <formula>WEEKDAY(B$3,2)&gt;5</formula>
    </cfRule>
  </conditionalFormatting>
  <conditionalFormatting sqref="E104:H104">
    <cfRule type="expression" priority="343">
      <formula>WEEKDAY(C$3,2)&gt;5</formula>
    </cfRule>
  </conditionalFormatting>
  <conditionalFormatting sqref="I104">
    <cfRule type="expression" priority="353">
      <formula>WEEKDAY(#REF!,2)&gt;5</formula>
    </cfRule>
  </conditionalFormatting>
  <conditionalFormatting sqref="J104">
    <cfRule type="expression" priority="352">
      <formula>WEEKDAY(#REF!,2)&gt;5</formula>
    </cfRule>
  </conditionalFormatting>
  <conditionalFormatting sqref="K104">
    <cfRule type="expression" priority="356">
      <formula>WEEKDAY(#REF!,2)&gt;5</formula>
    </cfRule>
  </conditionalFormatting>
  <conditionalFormatting sqref="M104">
    <cfRule type="expression" priority="351">
      <formula>WEEKDAY(K$3,2)&gt;5</formula>
    </cfRule>
  </conditionalFormatting>
  <conditionalFormatting sqref="O104:R104">
    <cfRule type="expression" priority="350">
      <formula>WEEKDAY(#REF!,2)&gt;5</formula>
    </cfRule>
  </conditionalFormatting>
  <conditionalFormatting sqref="S104:T104">
    <cfRule type="expression" priority="349">
      <formula>WEEKDAY(Q$3,2)&gt;5</formula>
    </cfRule>
  </conditionalFormatting>
  <conditionalFormatting sqref="U104:X104">
    <cfRule type="expression" priority="348">
      <formula>WEEKDAY(#REF!,2)&gt;5</formula>
    </cfRule>
  </conditionalFormatting>
  <conditionalFormatting sqref="X104">
    <cfRule type="expression" priority="355">
      <formula>WEEKDAY(#REF!,2)&gt;5</formula>
    </cfRule>
  </conditionalFormatting>
  <conditionalFormatting sqref="Y104">
    <cfRule type="expression" priority="342">
      <formula>WEEKDAY(#REF!,2)&gt;5</formula>
    </cfRule>
  </conditionalFormatting>
  <conditionalFormatting sqref="Z104:AA104">
    <cfRule type="expression" priority="347">
      <formula>WEEKDAY(X$3,2)&gt;5</formula>
    </cfRule>
  </conditionalFormatting>
  <conditionalFormatting sqref="AB104:AF104">
    <cfRule type="expression" priority="346">
      <formula>WEEKDAY(#REF!,2)&gt;5</formula>
    </cfRule>
  </conditionalFormatting>
  <conditionalFormatting sqref="AG104">
    <cfRule type="expression" priority="344">
      <formula>WEEKDAY(AE$3,2)&gt;5</formula>
    </cfRule>
  </conditionalFormatting>
  <conditionalFormatting sqref="AH104">
    <cfRule type="expression" priority="345">
      <formula>WEEKDAY(AF$3,2)&gt;5</formula>
    </cfRule>
  </conditionalFormatting>
  <conditionalFormatting sqref="D105:E105">
    <cfRule type="expression" priority="2699">
      <formula>WEEKDAY(B$3,2)&gt;5</formula>
    </cfRule>
  </conditionalFormatting>
  <conditionalFormatting sqref="F105">
    <cfRule type="expression" priority="2517">
      <formula>WEEKDAY(D$3,2)&gt;5</formula>
    </cfRule>
  </conditionalFormatting>
  <conditionalFormatting sqref="G105">
    <cfRule type="expression" priority="2881">
      <formula>WEEKDAY(E$3,2)&gt;5</formula>
    </cfRule>
  </conditionalFormatting>
  <conditionalFormatting sqref="H105">
    <cfRule type="expression" priority="2335">
      <formula>WEEKDAY(F$3,2)&gt;5</formula>
    </cfRule>
  </conditionalFormatting>
  <conditionalFormatting sqref="I105">
    <cfRule type="expression" priority="2153">
      <formula>WEEKDAY(#REF!,2)&gt;5</formula>
    </cfRule>
  </conditionalFormatting>
  <conditionalFormatting sqref="J105:L105">
    <cfRule type="expression" priority="126">
      <formula>WEEKDAY(#REF!,2)&gt;5</formula>
    </cfRule>
  </conditionalFormatting>
  <conditionalFormatting sqref="M105">
    <cfRule type="expression" priority="1789">
      <formula>WEEKDAY(K$3,2)&gt;5</formula>
    </cfRule>
  </conditionalFormatting>
  <conditionalFormatting sqref="N105">
    <cfRule type="expression" priority="3427">
      <formula>WEEKDAY(#REF!,2)&gt;5</formula>
    </cfRule>
  </conditionalFormatting>
  <conditionalFormatting sqref="O105:R105">
    <cfRule type="expression" priority="1607">
      <formula>WEEKDAY(#REF!,2)&gt;5</formula>
    </cfRule>
  </conditionalFormatting>
  <conditionalFormatting sqref="S105:T105">
    <cfRule type="expression" priority="1425">
      <formula>WEEKDAY(Q$3,2)&gt;5</formula>
    </cfRule>
  </conditionalFormatting>
  <conditionalFormatting sqref="V105">
    <cfRule type="expression" priority="125">
      <formula>WEEKDAY(#REF!,2)&gt;5</formula>
    </cfRule>
  </conditionalFormatting>
  <conditionalFormatting sqref="X105">
    <cfRule type="expression" priority="124">
      <formula>WEEKDAY(#REF!,2)&gt;5</formula>
    </cfRule>
  </conditionalFormatting>
  <conditionalFormatting sqref="Y105">
    <cfRule type="expression" priority="3063">
      <formula>WEEKDAY(#REF!,2)&gt;5</formula>
    </cfRule>
  </conditionalFormatting>
  <conditionalFormatting sqref="Z105:AA105">
    <cfRule type="expression" priority="1061">
      <formula>WEEKDAY(X$3,2)&gt;5</formula>
    </cfRule>
  </conditionalFormatting>
  <conditionalFormatting sqref="AB105:AF105">
    <cfRule type="expression" priority="879">
      <formula>WEEKDAY(#REF!,2)&gt;5</formula>
    </cfRule>
  </conditionalFormatting>
  <conditionalFormatting sqref="AG105">
    <cfRule type="expression" priority="515">
      <formula>WEEKDAY(AE$3,2)&gt;5</formula>
    </cfRule>
  </conditionalFormatting>
  <conditionalFormatting sqref="AH105">
    <cfRule type="expression" priority="697">
      <formula>WEEKDAY(AF$3,2)&gt;5</formula>
    </cfRule>
  </conditionalFormatting>
  <conditionalFormatting sqref="D106:E106">
    <cfRule type="expression" priority="2698">
      <formula>WEEKDAY(B$3,2)&gt;5</formula>
    </cfRule>
  </conditionalFormatting>
  <conditionalFormatting sqref="F106">
    <cfRule type="expression" priority="2516">
      <formula>WEEKDAY(D$3,2)&gt;5</formula>
    </cfRule>
  </conditionalFormatting>
  <conditionalFormatting sqref="G106">
    <cfRule type="expression" priority="2880">
      <formula>WEEKDAY(E$3,2)&gt;5</formula>
    </cfRule>
  </conditionalFormatting>
  <conditionalFormatting sqref="H106">
    <cfRule type="expression" priority="2334">
      <formula>WEEKDAY(F$3,2)&gt;5</formula>
    </cfRule>
  </conditionalFormatting>
  <conditionalFormatting sqref="I106">
    <cfRule type="expression" priority="2152">
      <formula>WEEKDAY(#REF!,2)&gt;5</formula>
    </cfRule>
  </conditionalFormatting>
  <conditionalFormatting sqref="J106">
    <cfRule type="expression" priority="1970">
      <formula>WEEKDAY(#REF!,2)&gt;5</formula>
    </cfRule>
  </conditionalFormatting>
  <conditionalFormatting sqref="K106">
    <cfRule type="expression" priority="137">
      <formula>WEEKDAY(#REF!,2)&gt;5</formula>
    </cfRule>
  </conditionalFormatting>
  <conditionalFormatting sqref="M106">
    <cfRule type="expression" priority="1788">
      <formula>WEEKDAY(K$3,2)&gt;5</formula>
    </cfRule>
  </conditionalFormatting>
  <conditionalFormatting sqref="P106">
    <cfRule type="expression" priority="136">
      <formula>WEEKDAY(#REF!,2)&gt;5</formula>
    </cfRule>
  </conditionalFormatting>
  <conditionalFormatting sqref="S106:T106">
    <cfRule type="expression" priority="1424">
      <formula>WEEKDAY(Q$3,2)&gt;5</formula>
    </cfRule>
  </conditionalFormatting>
  <conditionalFormatting sqref="W106">
    <cfRule type="expression" priority="135">
      <formula>WEEKDAY(#REF!,2)&gt;5</formula>
    </cfRule>
  </conditionalFormatting>
  <conditionalFormatting sqref="X106">
    <cfRule type="expression" priority="3062">
      <formula>WEEKDAY(#REF!,2)&gt;5</formula>
    </cfRule>
  </conditionalFormatting>
  <conditionalFormatting sqref="Y106">
    <cfRule type="expression" priority="134">
      <formula>WEEKDAY(#REF!,2)&gt;5</formula>
    </cfRule>
  </conditionalFormatting>
  <conditionalFormatting sqref="Z106:AA106">
    <cfRule type="expression" priority="1060">
      <formula>WEEKDAY(X$3,2)&gt;5</formula>
    </cfRule>
  </conditionalFormatting>
  <conditionalFormatting sqref="AB106:AF106">
    <cfRule type="expression" priority="878">
      <formula>WEEKDAY(#REF!,2)&gt;5</formula>
    </cfRule>
  </conditionalFormatting>
  <conditionalFormatting sqref="AG106">
    <cfRule type="expression" priority="514">
      <formula>WEEKDAY(AE$3,2)&gt;5</formula>
    </cfRule>
  </conditionalFormatting>
  <conditionalFormatting sqref="AH106">
    <cfRule type="expression" priority="696">
      <formula>WEEKDAY(AF$3,2)&gt;5</formula>
    </cfRule>
  </conditionalFormatting>
  <conditionalFormatting sqref="D107:E107">
    <cfRule type="expression" priority="2697">
      <formula>WEEKDAY(B$3,2)&gt;5</formula>
    </cfRule>
  </conditionalFormatting>
  <conditionalFormatting sqref="F107">
    <cfRule type="expression" priority="2515">
      <formula>WEEKDAY(D$3,2)&gt;5</formula>
    </cfRule>
  </conditionalFormatting>
  <conditionalFormatting sqref="G107">
    <cfRule type="expression" priority="2879">
      <formula>WEEKDAY(E$3,2)&gt;5</formula>
    </cfRule>
  </conditionalFormatting>
  <conditionalFormatting sqref="H107">
    <cfRule type="expression" priority="2333">
      <formula>WEEKDAY(F$3,2)&gt;5</formula>
    </cfRule>
  </conditionalFormatting>
  <conditionalFormatting sqref="I107">
    <cfRule type="expression" priority="2151">
      <formula>WEEKDAY(#REF!,2)&gt;5</formula>
    </cfRule>
  </conditionalFormatting>
  <conditionalFormatting sqref="J107">
    <cfRule type="expression" priority="1969">
      <formula>WEEKDAY(#REF!,2)&gt;5</formula>
    </cfRule>
  </conditionalFormatting>
  <conditionalFormatting sqref="K107">
    <cfRule type="expression" priority="3243">
      <formula>WEEKDAY(#REF!,2)&gt;5</formula>
    </cfRule>
  </conditionalFormatting>
  <conditionalFormatting sqref="M107">
    <cfRule type="expression" priority="1787">
      <formula>WEEKDAY(K$3,2)&gt;5</formula>
    </cfRule>
  </conditionalFormatting>
  <conditionalFormatting sqref="O107:R107">
    <cfRule type="expression" priority="1605">
      <formula>WEEKDAY(#REF!,2)&gt;5</formula>
    </cfRule>
  </conditionalFormatting>
  <conditionalFormatting sqref="S107:T107">
    <cfRule type="expression" priority="1423">
      <formula>WEEKDAY(Q$3,2)&gt;5</formula>
    </cfRule>
  </conditionalFormatting>
  <conditionalFormatting sqref="U107:Y107">
    <cfRule type="expression" priority="1241">
      <formula>WEEKDAY(#REF!,2)&gt;5</formula>
    </cfRule>
  </conditionalFormatting>
  <conditionalFormatting sqref="X107:Y107">
    <cfRule type="expression" priority="3061">
      <formula>WEEKDAY(#REF!,2)&gt;5</formula>
    </cfRule>
  </conditionalFormatting>
  <conditionalFormatting sqref="Z107:AA107">
    <cfRule type="expression" priority="1059">
      <formula>WEEKDAY(X$3,2)&gt;5</formula>
    </cfRule>
  </conditionalFormatting>
  <conditionalFormatting sqref="AB107:AF107">
    <cfRule type="expression" priority="877">
      <formula>WEEKDAY(#REF!,2)&gt;5</formula>
    </cfRule>
  </conditionalFormatting>
  <conditionalFormatting sqref="AG107">
    <cfRule type="expression" priority="513">
      <formula>WEEKDAY(AE$3,2)&gt;5</formula>
    </cfRule>
  </conditionalFormatting>
  <conditionalFormatting sqref="AH107">
    <cfRule type="expression" priority="695">
      <formula>WEEKDAY(AF$3,2)&gt;5</formula>
    </cfRule>
  </conditionalFormatting>
  <conditionalFormatting sqref="D108:E108">
    <cfRule type="expression" priority="2696">
      <formula>WEEKDAY(B$3,2)&gt;5</formula>
    </cfRule>
  </conditionalFormatting>
  <conditionalFormatting sqref="F108">
    <cfRule type="expression" priority="2514">
      <formula>WEEKDAY(D$3,2)&gt;5</formula>
    </cfRule>
  </conditionalFormatting>
  <conditionalFormatting sqref="G108">
    <cfRule type="expression" priority="2878">
      <formula>WEEKDAY(E$3,2)&gt;5</formula>
    </cfRule>
  </conditionalFormatting>
  <conditionalFormatting sqref="H108">
    <cfRule type="expression" priority="2332">
      <formula>WEEKDAY(F$3,2)&gt;5</formula>
    </cfRule>
  </conditionalFormatting>
  <conditionalFormatting sqref="I108">
    <cfRule type="expression" priority="2150">
      <formula>WEEKDAY(#REF!,2)&gt;5</formula>
    </cfRule>
  </conditionalFormatting>
  <conditionalFormatting sqref="J108">
    <cfRule type="expression" priority="1968">
      <formula>WEEKDAY(#REF!,2)&gt;5</formula>
    </cfRule>
  </conditionalFormatting>
  <conditionalFormatting sqref="K108">
    <cfRule type="expression" priority="3242">
      <formula>WEEKDAY(#REF!,2)&gt;5</formula>
    </cfRule>
  </conditionalFormatting>
  <conditionalFormatting sqref="M108">
    <cfRule type="expression" priority="1786">
      <formula>WEEKDAY(K$3,2)&gt;5</formula>
    </cfRule>
  </conditionalFormatting>
  <conditionalFormatting sqref="O108:R108">
    <cfRule type="expression" priority="1604">
      <formula>WEEKDAY(#REF!,2)&gt;5</formula>
    </cfRule>
  </conditionalFormatting>
  <conditionalFormatting sqref="S108:T108">
    <cfRule type="expression" priority="1422">
      <formula>WEEKDAY(Q$3,2)&gt;5</formula>
    </cfRule>
  </conditionalFormatting>
  <conditionalFormatting sqref="U108:Y108">
    <cfRule type="expression" priority="1240">
      <formula>WEEKDAY(#REF!,2)&gt;5</formula>
    </cfRule>
  </conditionalFormatting>
  <conditionalFormatting sqref="X108:Y108">
    <cfRule type="expression" priority="3060">
      <formula>WEEKDAY(#REF!,2)&gt;5</formula>
    </cfRule>
  </conditionalFormatting>
  <conditionalFormatting sqref="Z108:AA108">
    <cfRule type="expression" priority="1058">
      <formula>WEEKDAY(X$3,2)&gt;5</formula>
    </cfRule>
  </conditionalFormatting>
  <conditionalFormatting sqref="AB108:AF108">
    <cfRule type="expression" priority="876">
      <formula>WEEKDAY(#REF!,2)&gt;5</formula>
    </cfRule>
  </conditionalFormatting>
  <conditionalFormatting sqref="AG108">
    <cfRule type="expression" priority="512">
      <formula>WEEKDAY(AE$3,2)&gt;5</formula>
    </cfRule>
  </conditionalFormatting>
  <conditionalFormatting sqref="AH108">
    <cfRule type="expression" priority="694">
      <formula>WEEKDAY(AF$3,2)&gt;5</formula>
    </cfRule>
  </conditionalFormatting>
  <conditionalFormatting sqref="D109:E109">
    <cfRule type="expression" priority="2695">
      <formula>WEEKDAY(B$3,2)&gt;5</formula>
    </cfRule>
  </conditionalFormatting>
  <conditionalFormatting sqref="F109">
    <cfRule type="expression" priority="2513">
      <formula>WEEKDAY(D$3,2)&gt;5</formula>
    </cfRule>
  </conditionalFormatting>
  <conditionalFormatting sqref="G109">
    <cfRule type="expression" priority="2877">
      <formula>WEEKDAY(E$3,2)&gt;5</formula>
    </cfRule>
  </conditionalFormatting>
  <conditionalFormatting sqref="H109">
    <cfRule type="expression" priority="2331">
      <formula>WEEKDAY(F$3,2)&gt;5</formula>
    </cfRule>
  </conditionalFormatting>
  <conditionalFormatting sqref="I109">
    <cfRule type="expression" priority="2149">
      <formula>WEEKDAY(#REF!,2)&gt;5</formula>
    </cfRule>
  </conditionalFormatting>
  <conditionalFormatting sqref="J109">
    <cfRule type="expression" priority="1967">
      <formula>WEEKDAY(#REF!,2)&gt;5</formula>
    </cfRule>
  </conditionalFormatting>
  <conditionalFormatting sqref="K109">
    <cfRule type="expression" priority="3241">
      <formula>WEEKDAY(#REF!,2)&gt;5</formula>
    </cfRule>
  </conditionalFormatting>
  <conditionalFormatting sqref="M109">
    <cfRule type="expression" priority="1785">
      <formula>WEEKDAY(K$3,2)&gt;5</formula>
    </cfRule>
  </conditionalFormatting>
  <conditionalFormatting sqref="O109:R109">
    <cfRule type="expression" priority="1603">
      <formula>WEEKDAY(#REF!,2)&gt;5</formula>
    </cfRule>
  </conditionalFormatting>
  <conditionalFormatting sqref="S109:T109">
    <cfRule type="expression" priority="1421">
      <formula>WEEKDAY(Q$3,2)&gt;5</formula>
    </cfRule>
  </conditionalFormatting>
  <conditionalFormatting sqref="U109:Y109">
    <cfRule type="expression" priority="1239">
      <formula>WEEKDAY(#REF!,2)&gt;5</formula>
    </cfRule>
  </conditionalFormatting>
  <conditionalFormatting sqref="X109:Y109">
    <cfRule type="expression" priority="3059">
      <formula>WEEKDAY(#REF!,2)&gt;5</formula>
    </cfRule>
  </conditionalFormatting>
  <conditionalFormatting sqref="Z109:AA109">
    <cfRule type="expression" priority="1057">
      <formula>WEEKDAY(X$3,2)&gt;5</formula>
    </cfRule>
  </conditionalFormatting>
  <conditionalFormatting sqref="AB109:AF109">
    <cfRule type="expression" priority="875">
      <formula>WEEKDAY(#REF!,2)&gt;5</formula>
    </cfRule>
  </conditionalFormatting>
  <conditionalFormatting sqref="AG109">
    <cfRule type="expression" priority="511">
      <formula>WEEKDAY(AE$3,2)&gt;5</formula>
    </cfRule>
  </conditionalFormatting>
  <conditionalFormatting sqref="AH109">
    <cfRule type="expression" priority="693">
      <formula>WEEKDAY(AF$3,2)&gt;5</formula>
    </cfRule>
  </conditionalFormatting>
  <conditionalFormatting sqref="D110:E110">
    <cfRule type="expression" priority="2693">
      <formula>WEEKDAY(B$3,2)&gt;5</formula>
    </cfRule>
  </conditionalFormatting>
  <conditionalFormatting sqref="F110">
    <cfRule type="expression" priority="2511">
      <formula>WEEKDAY(D$3,2)&gt;5</formula>
    </cfRule>
  </conditionalFormatting>
  <conditionalFormatting sqref="G110">
    <cfRule type="expression" priority="2875">
      <formula>WEEKDAY(E$3,2)&gt;5</formula>
    </cfRule>
  </conditionalFormatting>
  <conditionalFormatting sqref="H110">
    <cfRule type="expression" priority="2329">
      <formula>WEEKDAY(F$3,2)&gt;5</formula>
    </cfRule>
  </conditionalFormatting>
  <conditionalFormatting sqref="I110">
    <cfRule type="expression" priority="147">
      <formula>WEEKDAY(#REF!,2)&gt;5</formula>
    </cfRule>
  </conditionalFormatting>
  <conditionalFormatting sqref="J110:K110">
    <cfRule type="expression" priority="146">
      <formula>WEEKDAY(#REF!,2)&gt;5</formula>
    </cfRule>
  </conditionalFormatting>
  <conditionalFormatting sqref="L110">
    <cfRule type="expression" priority="3421">
      <formula>WEEKDAY(#REF!,2)&gt;5</formula>
    </cfRule>
  </conditionalFormatting>
  <conditionalFormatting sqref="M110">
    <cfRule type="expression" priority="1783">
      <formula>WEEKDAY(K$3,2)&gt;5</formula>
    </cfRule>
  </conditionalFormatting>
  <conditionalFormatting sqref="N110">
    <cfRule type="expression" priority="144">
      <formula>WEEKDAY(#REF!,2)&gt;5</formula>
    </cfRule>
  </conditionalFormatting>
  <conditionalFormatting sqref="Q110">
    <cfRule type="expression" priority="143">
      <formula>WEEKDAY(#REF!,2)&gt;5</formula>
    </cfRule>
  </conditionalFormatting>
  <conditionalFormatting sqref="S110:T110">
    <cfRule type="expression" priority="1419">
      <formula>WEEKDAY(Q$3,2)&gt;5</formula>
    </cfRule>
  </conditionalFormatting>
  <conditionalFormatting sqref="U110">
    <cfRule type="expression" priority="142">
      <formula>WEEKDAY(#REF!,2)&gt;5</formula>
    </cfRule>
  </conditionalFormatting>
  <conditionalFormatting sqref="V110">
    <cfRule type="expression" priority="141">
      <formula>WEEKDAY(#REF!,2)&gt;5</formula>
    </cfRule>
  </conditionalFormatting>
  <conditionalFormatting sqref="W110:X110">
    <cfRule type="expression" priority="140">
      <formula>WEEKDAY(#REF!,2)&gt;5</formula>
    </cfRule>
  </conditionalFormatting>
  <conditionalFormatting sqref="Y110">
    <cfRule type="expression" priority="139">
      <formula>WEEKDAY(#REF!,2)&gt;5</formula>
    </cfRule>
  </conditionalFormatting>
  <conditionalFormatting sqref="Z110:AA110">
    <cfRule type="expression" priority="1055">
      <formula>WEEKDAY(X$3,2)&gt;5</formula>
    </cfRule>
  </conditionalFormatting>
  <conditionalFormatting sqref="AB110">
    <cfRule type="expression" priority="138">
      <formula>WEEKDAY(#REF!,2)&gt;5</formula>
    </cfRule>
  </conditionalFormatting>
  <conditionalFormatting sqref="AC110:AF110">
    <cfRule type="expression" priority="873">
      <formula>WEEKDAY(#REF!,2)&gt;5</formula>
    </cfRule>
  </conditionalFormatting>
  <conditionalFormatting sqref="AG110">
    <cfRule type="expression" priority="509">
      <formula>WEEKDAY(AE$3,2)&gt;5</formula>
    </cfRule>
  </conditionalFormatting>
  <conditionalFormatting sqref="AH110">
    <cfRule type="expression" priority="691">
      <formula>WEEKDAY(AF$3,2)&gt;5</formula>
    </cfRule>
  </conditionalFormatting>
  <conditionalFormatting sqref="D111:E111">
    <cfRule type="expression" priority="2692">
      <formula>WEEKDAY(B$3,2)&gt;5</formula>
    </cfRule>
  </conditionalFormatting>
  <conditionalFormatting sqref="F111">
    <cfRule type="expression" priority="2510">
      <formula>WEEKDAY(D$3,2)&gt;5</formula>
    </cfRule>
  </conditionalFormatting>
  <conditionalFormatting sqref="G111">
    <cfRule type="expression" priority="2874">
      <formula>WEEKDAY(E$3,2)&gt;5</formula>
    </cfRule>
  </conditionalFormatting>
  <conditionalFormatting sqref="H111">
    <cfRule type="expression" priority="2328">
      <formula>WEEKDAY(F$3,2)&gt;5</formula>
    </cfRule>
  </conditionalFormatting>
  <conditionalFormatting sqref="I111">
    <cfRule type="expression" priority="2146">
      <formula>WEEKDAY(#REF!,2)&gt;5</formula>
    </cfRule>
  </conditionalFormatting>
  <conditionalFormatting sqref="J111">
    <cfRule type="expression" priority="1964">
      <formula>WEEKDAY(#REF!,2)&gt;5</formula>
    </cfRule>
  </conditionalFormatting>
  <conditionalFormatting sqref="K111">
    <cfRule type="expression" priority="3238">
      <formula>WEEKDAY(#REF!,2)&gt;5</formula>
    </cfRule>
  </conditionalFormatting>
  <conditionalFormatting sqref="M111">
    <cfRule type="expression" priority="1782">
      <formula>WEEKDAY(K$3,2)&gt;5</formula>
    </cfRule>
  </conditionalFormatting>
  <conditionalFormatting sqref="O111:R111">
    <cfRule type="expression" priority="1600">
      <formula>WEEKDAY(#REF!,2)&gt;5</formula>
    </cfRule>
  </conditionalFormatting>
  <conditionalFormatting sqref="S111:T111">
    <cfRule type="expression" priority="1418">
      <formula>WEEKDAY(Q$3,2)&gt;5</formula>
    </cfRule>
  </conditionalFormatting>
  <conditionalFormatting sqref="U111">
    <cfRule type="expression" priority="149">
      <formula>WEEKDAY(#REF!,2)&gt;5</formula>
    </cfRule>
  </conditionalFormatting>
  <conditionalFormatting sqref="V111">
    <cfRule type="expression" priority="148">
      <formula>WEEKDAY(#REF!,2)&gt;5</formula>
    </cfRule>
  </conditionalFormatting>
  <conditionalFormatting sqref="W111:Y111">
    <cfRule type="expression" priority="1236">
      <formula>WEEKDAY(#REF!,2)&gt;5</formula>
    </cfRule>
  </conditionalFormatting>
  <conditionalFormatting sqref="X111:Y111">
    <cfRule type="expression" priority="3056">
      <formula>WEEKDAY(#REF!,2)&gt;5</formula>
    </cfRule>
  </conditionalFormatting>
  <conditionalFormatting sqref="Z111:AA111">
    <cfRule type="expression" priority="1054">
      <formula>WEEKDAY(X$3,2)&gt;5</formula>
    </cfRule>
  </conditionalFormatting>
  <conditionalFormatting sqref="AB111:AF111">
    <cfRule type="expression" priority="872">
      <formula>WEEKDAY(#REF!,2)&gt;5</formula>
    </cfRule>
  </conditionalFormatting>
  <conditionalFormatting sqref="AG111">
    <cfRule type="expression" priority="508">
      <formula>WEEKDAY(AE$3,2)&gt;5</formula>
    </cfRule>
  </conditionalFormatting>
  <conditionalFormatting sqref="AH111">
    <cfRule type="expression" priority="690">
      <formula>WEEKDAY(AF$3,2)&gt;5</formula>
    </cfRule>
  </conditionalFormatting>
  <conditionalFormatting sqref="B112">
    <cfRule type="duplicateValues" dxfId="1" priority="15482"/>
  </conditionalFormatting>
  <conditionalFormatting sqref="D112:E112">
    <cfRule type="expression" priority="2691">
      <formula>WEEKDAY(B$3,2)&gt;5</formula>
    </cfRule>
  </conditionalFormatting>
  <conditionalFormatting sqref="F112">
    <cfRule type="expression" priority="2509">
      <formula>WEEKDAY(D$3,2)&gt;5</formula>
    </cfRule>
  </conditionalFormatting>
  <conditionalFormatting sqref="G112">
    <cfRule type="expression" priority="2873">
      <formula>WEEKDAY(E$3,2)&gt;5</formula>
    </cfRule>
  </conditionalFormatting>
  <conditionalFormatting sqref="H112">
    <cfRule type="expression" priority="2327">
      <formula>WEEKDAY(F$3,2)&gt;5</formula>
    </cfRule>
  </conditionalFormatting>
  <conditionalFormatting sqref="I112">
    <cfRule type="expression" priority="2145">
      <formula>WEEKDAY(#REF!,2)&gt;5</formula>
    </cfRule>
  </conditionalFormatting>
  <conditionalFormatting sqref="J112">
    <cfRule type="expression" priority="1963">
      <formula>WEEKDAY(#REF!,2)&gt;5</formula>
    </cfRule>
  </conditionalFormatting>
  <conditionalFormatting sqref="K112">
    <cfRule type="expression" priority="3237">
      <formula>WEEKDAY(#REF!,2)&gt;5</formula>
    </cfRule>
  </conditionalFormatting>
  <conditionalFormatting sqref="M112">
    <cfRule type="expression" priority="1781">
      <formula>WEEKDAY(K$3,2)&gt;5</formula>
    </cfRule>
  </conditionalFormatting>
  <conditionalFormatting sqref="P112">
    <cfRule type="expression" priority="188">
      <formula>WEEKDAY(#REF!,2)&gt;5</formula>
    </cfRule>
  </conditionalFormatting>
  <conditionalFormatting sqref="S112:T112">
    <cfRule type="expression" priority="1417">
      <formula>WEEKDAY(Q$3,2)&gt;5</formula>
    </cfRule>
  </conditionalFormatting>
  <conditionalFormatting sqref="X112">
    <cfRule type="expression" priority="187">
      <formula>WEEKDAY(#REF!,2)&gt;5</formula>
    </cfRule>
  </conditionalFormatting>
  <conditionalFormatting sqref="Y112">
    <cfRule type="expression" priority="3055">
      <formula>WEEKDAY(#REF!,2)&gt;5</formula>
    </cfRule>
  </conditionalFormatting>
  <conditionalFormatting sqref="Z112:AA112">
    <cfRule type="expression" priority="1053">
      <formula>WEEKDAY(X$3,2)&gt;5</formula>
    </cfRule>
  </conditionalFormatting>
  <conditionalFormatting sqref="AB112:AF112">
    <cfRule type="expression" priority="871">
      <formula>WEEKDAY(#REF!,2)&gt;5</formula>
    </cfRule>
  </conditionalFormatting>
  <conditionalFormatting sqref="AG112">
    <cfRule type="expression" priority="507">
      <formula>WEEKDAY(AE$3,2)&gt;5</formula>
    </cfRule>
  </conditionalFormatting>
  <conditionalFormatting sqref="AH112">
    <cfRule type="expression" priority="689">
      <formula>WEEKDAY(AF$3,2)&gt;5</formula>
    </cfRule>
  </conditionalFormatting>
  <conditionalFormatting sqref="D113:E113">
    <cfRule type="expression" priority="2690">
      <formula>WEEKDAY(B$3,2)&gt;5</formula>
    </cfRule>
  </conditionalFormatting>
  <conditionalFormatting sqref="F113">
    <cfRule type="expression" priority="2508">
      <formula>WEEKDAY(D$3,2)&gt;5</formula>
    </cfRule>
  </conditionalFormatting>
  <conditionalFormatting sqref="G113">
    <cfRule type="expression" priority="2872">
      <formula>WEEKDAY(E$3,2)&gt;5</formula>
    </cfRule>
  </conditionalFormatting>
  <conditionalFormatting sqref="H113">
    <cfRule type="expression" priority="2326">
      <formula>WEEKDAY(F$3,2)&gt;5</formula>
    </cfRule>
  </conditionalFormatting>
  <conditionalFormatting sqref="I113">
    <cfRule type="expression" priority="2144">
      <formula>WEEKDAY(#REF!,2)&gt;5</formula>
    </cfRule>
  </conditionalFormatting>
  <conditionalFormatting sqref="J113">
    <cfRule type="expression" priority="1962">
      <formula>WEEKDAY(#REF!,2)&gt;5</formula>
    </cfRule>
  </conditionalFormatting>
  <conditionalFormatting sqref="K113">
    <cfRule type="expression" priority="3236">
      <formula>WEEKDAY(#REF!,2)&gt;5</formula>
    </cfRule>
  </conditionalFormatting>
  <conditionalFormatting sqref="M113">
    <cfRule type="expression" priority="1780">
      <formula>WEEKDAY(K$3,2)&gt;5</formula>
    </cfRule>
  </conditionalFormatting>
  <conditionalFormatting sqref="P113">
    <cfRule type="expression" priority="133">
      <formula>WEEKDAY(#REF!,2)&gt;5</formula>
    </cfRule>
  </conditionalFormatting>
  <conditionalFormatting sqref="S113:T113">
    <cfRule type="expression" priority="1416">
      <formula>WEEKDAY(Q$3,2)&gt;5</formula>
    </cfRule>
  </conditionalFormatting>
  <conditionalFormatting sqref="W113">
    <cfRule type="expression" priority="132">
      <formula>WEEKDAY(#REF!,2)&gt;5</formula>
    </cfRule>
  </conditionalFormatting>
  <conditionalFormatting sqref="X113:Y113">
    <cfRule type="expression" priority="3054">
      <formula>WEEKDAY(#REF!,2)&gt;5</formula>
    </cfRule>
  </conditionalFormatting>
  <conditionalFormatting sqref="Z113:AA113">
    <cfRule type="expression" priority="1052">
      <formula>WEEKDAY(X$3,2)&gt;5</formula>
    </cfRule>
  </conditionalFormatting>
  <conditionalFormatting sqref="AD113">
    <cfRule type="expression" priority="131">
      <formula>WEEKDAY(#REF!,2)&gt;5</formula>
    </cfRule>
  </conditionalFormatting>
  <conditionalFormatting sqref="AE113">
    <cfRule type="expression" priority="130">
      <formula>WEEKDAY(#REF!,2)&gt;5</formula>
    </cfRule>
  </conditionalFormatting>
  <conditionalFormatting sqref="AG113">
    <cfRule type="expression" priority="506">
      <formula>WEEKDAY(AE$3,2)&gt;5</formula>
    </cfRule>
  </conditionalFormatting>
  <conditionalFormatting sqref="AH113">
    <cfRule type="expression" priority="688">
      <formula>WEEKDAY(AF$3,2)&gt;5</formula>
    </cfRule>
  </conditionalFormatting>
  <conditionalFormatting sqref="B114">
    <cfRule type="duplicateValues" dxfId="1" priority="15535"/>
  </conditionalFormatting>
  <conditionalFormatting sqref="D114:E114">
    <cfRule type="expression" priority="2689">
      <formula>WEEKDAY(B$3,2)&gt;5</formula>
    </cfRule>
  </conditionalFormatting>
  <conditionalFormatting sqref="F114">
    <cfRule type="expression" priority="2507">
      <formula>WEEKDAY(D$3,2)&gt;5</formula>
    </cfRule>
  </conditionalFormatting>
  <conditionalFormatting sqref="G114">
    <cfRule type="expression" priority="2871">
      <formula>WEEKDAY(E$3,2)&gt;5</formula>
    </cfRule>
  </conditionalFormatting>
  <conditionalFormatting sqref="H114">
    <cfRule type="expression" priority="2325">
      <formula>WEEKDAY(F$3,2)&gt;5</formula>
    </cfRule>
  </conditionalFormatting>
  <conditionalFormatting sqref="I114">
    <cfRule type="expression" priority="184">
      <formula>WEEKDAY(#REF!,2)&gt;5</formula>
    </cfRule>
  </conditionalFormatting>
  <conditionalFormatting sqref="J114">
    <cfRule type="expression" priority="1961">
      <formula>WEEKDAY(#REF!,2)&gt;5</formula>
    </cfRule>
  </conditionalFormatting>
  <conditionalFormatting sqref="K114">
    <cfRule type="expression" priority="3235">
      <formula>WEEKDAY(#REF!,2)&gt;5</formula>
    </cfRule>
  </conditionalFormatting>
  <conditionalFormatting sqref="L114">
    <cfRule type="expression" priority="3417">
      <formula>WEEKDAY(#REF!,2)&gt;5</formula>
    </cfRule>
  </conditionalFormatting>
  <conditionalFormatting sqref="M114">
    <cfRule type="expression" priority="1779">
      <formula>WEEKDAY(K$3,2)&gt;5</formula>
    </cfRule>
  </conditionalFormatting>
  <conditionalFormatting sqref="N114">
    <cfRule type="expression" priority="183">
      <formula>WEEKDAY(#REF!,2)&gt;5</formula>
    </cfRule>
  </conditionalFormatting>
  <conditionalFormatting sqref="P114">
    <cfRule type="expression" priority="182">
      <formula>WEEKDAY(#REF!,2)&gt;5</formula>
    </cfRule>
  </conditionalFormatting>
  <conditionalFormatting sqref="S114:T114">
    <cfRule type="expression" priority="1415">
      <formula>WEEKDAY(Q$3,2)&gt;5</formula>
    </cfRule>
  </conditionalFormatting>
  <conditionalFormatting sqref="V114">
    <cfRule type="expression" priority="181">
      <formula>WEEKDAY(#REF!,2)&gt;5</formula>
    </cfRule>
  </conditionalFormatting>
  <conditionalFormatting sqref="W114">
    <cfRule type="expression" priority="179">
      <formula>WEEKDAY(#REF!,2)&gt;5</formula>
    </cfRule>
  </conditionalFormatting>
  <conditionalFormatting sqref="X114:Y114">
    <cfRule type="expression" priority="3053">
      <formula>WEEKDAY(#REF!,2)&gt;5</formula>
    </cfRule>
  </conditionalFormatting>
  <conditionalFormatting sqref="Z114:AA114">
    <cfRule type="expression" priority="1051">
      <formula>WEEKDAY(X$3,2)&gt;5</formula>
    </cfRule>
  </conditionalFormatting>
  <conditionalFormatting sqref="AB114:AF114">
    <cfRule type="expression" priority="869">
      <formula>WEEKDAY(#REF!,2)&gt;5</formula>
    </cfRule>
  </conditionalFormatting>
  <conditionalFormatting sqref="AG114">
    <cfRule type="expression" priority="505">
      <formula>WEEKDAY(AE$3,2)&gt;5</formula>
    </cfRule>
  </conditionalFormatting>
  <conditionalFormatting sqref="AH114">
    <cfRule type="expression" priority="687">
      <formula>WEEKDAY(AF$3,2)&gt;5</formula>
    </cfRule>
  </conditionalFormatting>
  <conditionalFormatting sqref="D115:E115">
    <cfRule type="expression" priority="2688">
      <formula>WEEKDAY(B$3,2)&gt;5</formula>
    </cfRule>
  </conditionalFormatting>
  <conditionalFormatting sqref="F115">
    <cfRule type="expression" priority="2506">
      <formula>WEEKDAY(D$3,2)&gt;5</formula>
    </cfRule>
  </conditionalFormatting>
  <conditionalFormatting sqref="G115">
    <cfRule type="expression" priority="2870">
      <formula>WEEKDAY(E$3,2)&gt;5</formula>
    </cfRule>
  </conditionalFormatting>
  <conditionalFormatting sqref="H115">
    <cfRule type="expression" priority="2324">
      <formula>WEEKDAY(F$3,2)&gt;5</formula>
    </cfRule>
  </conditionalFormatting>
  <conditionalFormatting sqref="I115">
    <cfRule type="expression" priority="2142">
      <formula>WEEKDAY(#REF!,2)&gt;5</formula>
    </cfRule>
  </conditionalFormatting>
  <conditionalFormatting sqref="J115">
    <cfRule type="expression" priority="1960">
      <formula>WEEKDAY(#REF!,2)&gt;5</formula>
    </cfRule>
  </conditionalFormatting>
  <conditionalFormatting sqref="K115">
    <cfRule type="expression" priority="3234">
      <formula>WEEKDAY(#REF!,2)&gt;5</formula>
    </cfRule>
  </conditionalFormatting>
  <conditionalFormatting sqref="M115">
    <cfRule type="expression" priority="1778">
      <formula>WEEKDAY(K$3,2)&gt;5</formula>
    </cfRule>
  </conditionalFormatting>
  <conditionalFormatting sqref="O115:R115">
    <cfRule type="expression" priority="1596">
      <formula>WEEKDAY(#REF!,2)&gt;5</formula>
    </cfRule>
  </conditionalFormatting>
  <conditionalFormatting sqref="S115:T115">
    <cfRule type="expression" priority="1414">
      <formula>WEEKDAY(Q$3,2)&gt;5</formula>
    </cfRule>
  </conditionalFormatting>
  <conditionalFormatting sqref="U115:Y115">
    <cfRule type="expression" priority="1232">
      <formula>WEEKDAY(#REF!,2)&gt;5</formula>
    </cfRule>
  </conditionalFormatting>
  <conditionalFormatting sqref="X115:Y115">
    <cfRule type="expression" priority="3052">
      <formula>WEEKDAY(#REF!,2)&gt;5</formula>
    </cfRule>
  </conditionalFormatting>
  <conditionalFormatting sqref="Z115:AA115">
    <cfRule type="expression" priority="1050">
      <formula>WEEKDAY(X$3,2)&gt;5</formula>
    </cfRule>
  </conditionalFormatting>
  <conditionalFormatting sqref="AB115:AE115">
    <cfRule type="expression" priority="868">
      <formula>WEEKDAY(#REF!,2)&gt;5</formula>
    </cfRule>
  </conditionalFormatting>
  <conditionalFormatting sqref="AF115">
    <cfRule type="expression" priority="163">
      <formula>WEEKDAY(#REF!,2)&gt;5</formula>
    </cfRule>
  </conditionalFormatting>
  <conditionalFormatting sqref="AG115">
    <cfRule type="expression" priority="504">
      <formula>WEEKDAY(AE$3,2)&gt;5</formula>
    </cfRule>
  </conditionalFormatting>
  <conditionalFormatting sqref="AH115">
    <cfRule type="expression" priority="686">
      <formula>WEEKDAY(AF$3,2)&gt;5</formula>
    </cfRule>
  </conditionalFormatting>
  <conditionalFormatting sqref="D116:E116">
    <cfRule type="expression" priority="2687">
      <formula>WEEKDAY(B$3,2)&gt;5</formula>
    </cfRule>
  </conditionalFormatting>
  <conditionalFormatting sqref="F116">
    <cfRule type="expression" priority="2505">
      <formula>WEEKDAY(D$3,2)&gt;5</formula>
    </cfRule>
  </conditionalFormatting>
  <conditionalFormatting sqref="G116">
    <cfRule type="expression" priority="2869">
      <formula>WEEKDAY(E$3,2)&gt;5</formula>
    </cfRule>
  </conditionalFormatting>
  <conditionalFormatting sqref="H116">
    <cfRule type="expression" priority="2323">
      <formula>WEEKDAY(F$3,2)&gt;5</formula>
    </cfRule>
  </conditionalFormatting>
  <conditionalFormatting sqref="I116">
    <cfRule type="expression" priority="2141">
      <formula>WEEKDAY(#REF!,2)&gt;5</formula>
    </cfRule>
  </conditionalFormatting>
  <conditionalFormatting sqref="J116">
    <cfRule type="expression" priority="1959">
      <formula>WEEKDAY(#REF!,2)&gt;5</formula>
    </cfRule>
  </conditionalFormatting>
  <conditionalFormatting sqref="K116">
    <cfRule type="expression" priority="3233">
      <formula>WEEKDAY(#REF!,2)&gt;5</formula>
    </cfRule>
  </conditionalFormatting>
  <conditionalFormatting sqref="L116">
    <cfRule type="expression" priority="3415">
      <formula>WEEKDAY(#REF!,2)&gt;5</formula>
    </cfRule>
  </conditionalFormatting>
  <conditionalFormatting sqref="M116">
    <cfRule type="expression" priority="1777">
      <formula>WEEKDAY(K$3,2)&gt;5</formula>
    </cfRule>
  </conditionalFormatting>
  <conditionalFormatting sqref="N116:P116">
    <cfRule type="expression" priority="185">
      <formula>WEEKDAY(#REF!,2)&gt;5</formula>
    </cfRule>
  </conditionalFormatting>
  <conditionalFormatting sqref="Q116:R116">
    <cfRule type="expression" priority="1595">
      <formula>WEEKDAY(#REF!,2)&gt;5</formula>
    </cfRule>
  </conditionalFormatting>
  <conditionalFormatting sqref="S116:T116">
    <cfRule type="expression" priority="1413">
      <formula>WEEKDAY(Q$3,2)&gt;5</formula>
    </cfRule>
  </conditionalFormatting>
  <conditionalFormatting sqref="U116:Y116">
    <cfRule type="expression" priority="1231">
      <formula>WEEKDAY(#REF!,2)&gt;5</formula>
    </cfRule>
  </conditionalFormatting>
  <conditionalFormatting sqref="X116:Y116">
    <cfRule type="expression" priority="3051">
      <formula>WEEKDAY(#REF!,2)&gt;5</formula>
    </cfRule>
  </conditionalFormatting>
  <conditionalFormatting sqref="Z116:AA116">
    <cfRule type="expression" priority="1049">
      <formula>WEEKDAY(X$3,2)&gt;5</formula>
    </cfRule>
  </conditionalFormatting>
  <conditionalFormatting sqref="AB116:AF116">
    <cfRule type="expression" priority="867">
      <formula>WEEKDAY(#REF!,2)&gt;5</formula>
    </cfRule>
  </conditionalFormatting>
  <conditionalFormatting sqref="AG116">
    <cfRule type="expression" priority="503">
      <formula>WEEKDAY(AE$3,2)&gt;5</formula>
    </cfRule>
  </conditionalFormatting>
  <conditionalFormatting sqref="AH116">
    <cfRule type="expression" priority="685">
      <formula>WEEKDAY(AF$3,2)&gt;5</formula>
    </cfRule>
  </conditionalFormatting>
  <conditionalFormatting sqref="D117:E117">
    <cfRule type="expression" priority="2686">
      <formula>WEEKDAY(B$3,2)&gt;5</formula>
    </cfRule>
  </conditionalFormatting>
  <conditionalFormatting sqref="F117">
    <cfRule type="expression" priority="2504">
      <formula>WEEKDAY(D$3,2)&gt;5</formula>
    </cfRule>
  </conditionalFormatting>
  <conditionalFormatting sqref="G117">
    <cfRule type="expression" priority="2868">
      <formula>WEEKDAY(E$3,2)&gt;5</formula>
    </cfRule>
  </conditionalFormatting>
  <conditionalFormatting sqref="H117">
    <cfRule type="expression" priority="2322">
      <formula>WEEKDAY(F$3,2)&gt;5</formula>
    </cfRule>
  </conditionalFormatting>
  <conditionalFormatting sqref="I117">
    <cfRule type="expression" priority="2140">
      <formula>WEEKDAY(#REF!,2)&gt;5</formula>
    </cfRule>
  </conditionalFormatting>
  <conditionalFormatting sqref="J117">
    <cfRule type="expression" priority="1958">
      <formula>WEEKDAY(#REF!,2)&gt;5</formula>
    </cfRule>
  </conditionalFormatting>
  <conditionalFormatting sqref="K117">
    <cfRule type="expression" priority="3232">
      <formula>WEEKDAY(#REF!,2)&gt;5</formula>
    </cfRule>
  </conditionalFormatting>
  <conditionalFormatting sqref="M117">
    <cfRule type="expression" priority="1776">
      <formula>WEEKDAY(K$3,2)&gt;5</formula>
    </cfRule>
  </conditionalFormatting>
  <conditionalFormatting sqref="O117:R117">
    <cfRule type="expression" priority="1594">
      <formula>WEEKDAY(#REF!,2)&gt;5</formula>
    </cfRule>
  </conditionalFormatting>
  <conditionalFormatting sqref="S117:T117">
    <cfRule type="expression" priority="1412">
      <formula>WEEKDAY(Q$3,2)&gt;5</formula>
    </cfRule>
  </conditionalFormatting>
  <conditionalFormatting sqref="U117:Y117">
    <cfRule type="expression" priority="1230">
      <formula>WEEKDAY(#REF!,2)&gt;5</formula>
    </cfRule>
  </conditionalFormatting>
  <conditionalFormatting sqref="X117:Y117">
    <cfRule type="expression" priority="3050">
      <formula>WEEKDAY(#REF!,2)&gt;5</formula>
    </cfRule>
  </conditionalFormatting>
  <conditionalFormatting sqref="Z117:AA117">
    <cfRule type="expression" priority="1048">
      <formula>WEEKDAY(X$3,2)&gt;5</formula>
    </cfRule>
  </conditionalFormatting>
  <conditionalFormatting sqref="AB117:AF117">
    <cfRule type="expression" priority="866">
      <formula>WEEKDAY(#REF!,2)&gt;5</formula>
    </cfRule>
  </conditionalFormatting>
  <conditionalFormatting sqref="AG117">
    <cfRule type="expression" priority="502">
      <formula>WEEKDAY(AE$3,2)&gt;5</formula>
    </cfRule>
  </conditionalFormatting>
  <conditionalFormatting sqref="AH117">
    <cfRule type="expression" priority="684">
      <formula>WEEKDAY(AF$3,2)&gt;5</formula>
    </cfRule>
  </conditionalFormatting>
  <conditionalFormatting sqref="D118:E118">
    <cfRule type="expression" priority="2685">
      <formula>WEEKDAY(B$3,2)&gt;5</formula>
    </cfRule>
  </conditionalFormatting>
  <conditionalFormatting sqref="F118">
    <cfRule type="expression" priority="2503">
      <formula>WEEKDAY(D$3,2)&gt;5</formula>
    </cfRule>
  </conditionalFormatting>
  <conditionalFormatting sqref="G118">
    <cfRule type="expression" priority="2867">
      <formula>WEEKDAY(E$3,2)&gt;5</formula>
    </cfRule>
  </conditionalFormatting>
  <conditionalFormatting sqref="H118">
    <cfRule type="expression" priority="2321">
      <formula>WEEKDAY(F$3,2)&gt;5</formula>
    </cfRule>
  </conditionalFormatting>
  <conditionalFormatting sqref="I118">
    <cfRule type="expression" priority="2139">
      <formula>WEEKDAY(#REF!,2)&gt;5</formula>
    </cfRule>
  </conditionalFormatting>
  <conditionalFormatting sqref="J118">
    <cfRule type="expression" priority="1957">
      <formula>WEEKDAY(#REF!,2)&gt;5</formula>
    </cfRule>
  </conditionalFormatting>
  <conditionalFormatting sqref="K118">
    <cfRule type="expression" priority="3231">
      <formula>WEEKDAY(#REF!,2)&gt;5</formula>
    </cfRule>
  </conditionalFormatting>
  <conditionalFormatting sqref="M118">
    <cfRule type="expression" priority="1775">
      <formula>WEEKDAY(K$3,2)&gt;5</formula>
    </cfRule>
  </conditionalFormatting>
  <conditionalFormatting sqref="O118:R118">
    <cfRule type="expression" priority="1593">
      <formula>WEEKDAY(#REF!,2)&gt;5</formula>
    </cfRule>
  </conditionalFormatting>
  <conditionalFormatting sqref="S118:T118">
    <cfRule type="expression" priority="1411">
      <formula>WEEKDAY(Q$3,2)&gt;5</formula>
    </cfRule>
  </conditionalFormatting>
  <conditionalFormatting sqref="U118:Y118">
    <cfRule type="expression" priority="1229">
      <formula>WEEKDAY(#REF!,2)&gt;5</formula>
    </cfRule>
  </conditionalFormatting>
  <conditionalFormatting sqref="X118:Y118">
    <cfRule type="expression" priority="3049">
      <formula>WEEKDAY(#REF!,2)&gt;5</formula>
    </cfRule>
  </conditionalFormatting>
  <conditionalFormatting sqref="Z118:AA118">
    <cfRule type="expression" priority="1047">
      <formula>WEEKDAY(X$3,2)&gt;5</formula>
    </cfRule>
  </conditionalFormatting>
  <conditionalFormatting sqref="AB118:AF118">
    <cfRule type="expression" priority="865">
      <formula>WEEKDAY(#REF!,2)&gt;5</formula>
    </cfRule>
  </conditionalFormatting>
  <conditionalFormatting sqref="AG118">
    <cfRule type="expression" priority="501">
      <formula>WEEKDAY(AE$3,2)&gt;5</formula>
    </cfRule>
  </conditionalFormatting>
  <conditionalFormatting sqref="AH118">
    <cfRule type="expression" priority="683">
      <formula>WEEKDAY(AF$3,2)&gt;5</formula>
    </cfRule>
  </conditionalFormatting>
  <conditionalFormatting sqref="D119:E119">
    <cfRule type="expression" priority="2684">
      <formula>WEEKDAY(B$3,2)&gt;5</formula>
    </cfRule>
  </conditionalFormatting>
  <conditionalFormatting sqref="F119">
    <cfRule type="expression" priority="2502">
      <formula>WEEKDAY(D$3,2)&gt;5</formula>
    </cfRule>
  </conditionalFormatting>
  <conditionalFormatting sqref="G119">
    <cfRule type="expression" priority="2866">
      <formula>WEEKDAY(E$3,2)&gt;5</formula>
    </cfRule>
  </conditionalFormatting>
  <conditionalFormatting sqref="H119">
    <cfRule type="expression" priority="2320">
      <formula>WEEKDAY(F$3,2)&gt;5</formula>
    </cfRule>
  </conditionalFormatting>
  <conditionalFormatting sqref="I119">
    <cfRule type="expression" priority="2138">
      <formula>WEEKDAY(#REF!,2)&gt;5</formula>
    </cfRule>
  </conditionalFormatting>
  <conditionalFormatting sqref="J119">
    <cfRule type="expression" priority="1956">
      <formula>WEEKDAY(#REF!,2)&gt;5</formula>
    </cfRule>
  </conditionalFormatting>
  <conditionalFormatting sqref="K119">
    <cfRule type="expression" priority="3230">
      <formula>WEEKDAY(#REF!,2)&gt;5</formula>
    </cfRule>
  </conditionalFormatting>
  <conditionalFormatting sqref="M119">
    <cfRule type="expression" priority="1774">
      <formula>WEEKDAY(K$3,2)&gt;5</formula>
    </cfRule>
  </conditionalFormatting>
  <conditionalFormatting sqref="O119:R119">
    <cfRule type="expression" priority="1592">
      <formula>WEEKDAY(#REF!,2)&gt;5</formula>
    </cfRule>
  </conditionalFormatting>
  <conditionalFormatting sqref="S119:T119">
    <cfRule type="expression" priority="1410">
      <formula>WEEKDAY(Q$3,2)&gt;5</formula>
    </cfRule>
  </conditionalFormatting>
  <conditionalFormatting sqref="U119:Y119">
    <cfRule type="expression" priority="1228">
      <formula>WEEKDAY(#REF!,2)&gt;5</formula>
    </cfRule>
  </conditionalFormatting>
  <conditionalFormatting sqref="X119:Y119">
    <cfRule type="expression" priority="3048">
      <formula>WEEKDAY(#REF!,2)&gt;5</formula>
    </cfRule>
  </conditionalFormatting>
  <conditionalFormatting sqref="Z119:AA119">
    <cfRule type="expression" priority="1046">
      <formula>WEEKDAY(X$3,2)&gt;5</formula>
    </cfRule>
  </conditionalFormatting>
  <conditionalFormatting sqref="AB119:AF119">
    <cfRule type="expression" priority="864">
      <formula>WEEKDAY(#REF!,2)&gt;5</formula>
    </cfRule>
  </conditionalFormatting>
  <conditionalFormatting sqref="AG119">
    <cfRule type="expression" priority="500">
      <formula>WEEKDAY(AE$3,2)&gt;5</formula>
    </cfRule>
  </conditionalFormatting>
  <conditionalFormatting sqref="AH119">
    <cfRule type="expression" priority="682">
      <formula>WEEKDAY(AF$3,2)&gt;5</formula>
    </cfRule>
  </conditionalFormatting>
  <conditionalFormatting sqref="D120:E120">
    <cfRule type="expression" priority="2682">
      <formula>WEEKDAY(B$3,2)&gt;5</formula>
    </cfRule>
  </conditionalFormatting>
  <conditionalFormatting sqref="F120">
    <cfRule type="expression" priority="2500">
      <formula>WEEKDAY(D$3,2)&gt;5</formula>
    </cfRule>
  </conditionalFormatting>
  <conditionalFormatting sqref="G120">
    <cfRule type="expression" priority="2864">
      <formula>WEEKDAY(E$3,2)&gt;5</formula>
    </cfRule>
  </conditionalFormatting>
  <conditionalFormatting sqref="H120">
    <cfRule type="expression" priority="2318">
      <formula>WEEKDAY(F$3,2)&gt;5</formula>
    </cfRule>
  </conditionalFormatting>
  <conditionalFormatting sqref="I120">
    <cfRule type="expression" priority="2136">
      <formula>WEEKDAY(#REF!,2)&gt;5</formula>
    </cfRule>
  </conditionalFormatting>
  <conditionalFormatting sqref="J120">
    <cfRule type="expression" priority="1954">
      <formula>WEEKDAY(#REF!,2)&gt;5</formula>
    </cfRule>
  </conditionalFormatting>
  <conditionalFormatting sqref="K120">
    <cfRule type="expression" priority="3228">
      <formula>WEEKDAY(#REF!,2)&gt;5</formula>
    </cfRule>
  </conditionalFormatting>
  <conditionalFormatting sqref="M120">
    <cfRule type="expression" priority="1772">
      <formula>WEEKDAY(K$3,2)&gt;5</formula>
    </cfRule>
  </conditionalFormatting>
  <conditionalFormatting sqref="O120:R120">
    <cfRule type="expression" priority="1590">
      <formula>WEEKDAY(#REF!,2)&gt;5</formula>
    </cfRule>
  </conditionalFormatting>
  <conditionalFormatting sqref="S120:T120">
    <cfRule type="expression" priority="1408">
      <formula>WEEKDAY(Q$3,2)&gt;5</formula>
    </cfRule>
  </conditionalFormatting>
  <conditionalFormatting sqref="U120:Y120">
    <cfRule type="expression" priority="1226">
      <formula>WEEKDAY(#REF!,2)&gt;5</formula>
    </cfRule>
  </conditionalFormatting>
  <conditionalFormatting sqref="X120:Y120">
    <cfRule type="expression" priority="3046">
      <formula>WEEKDAY(#REF!,2)&gt;5</formula>
    </cfRule>
  </conditionalFormatting>
  <conditionalFormatting sqref="Z120:AA120">
    <cfRule type="expression" priority="1044">
      <formula>WEEKDAY(X$3,2)&gt;5</formula>
    </cfRule>
  </conditionalFormatting>
  <conditionalFormatting sqref="AB120:AF120">
    <cfRule type="expression" priority="862">
      <formula>WEEKDAY(#REF!,2)&gt;5</formula>
    </cfRule>
  </conditionalFormatting>
  <conditionalFormatting sqref="AG120">
    <cfRule type="expression" priority="498">
      <formula>WEEKDAY(AE$3,2)&gt;5</formula>
    </cfRule>
  </conditionalFormatting>
  <conditionalFormatting sqref="AH120">
    <cfRule type="expression" priority="680">
      <formula>WEEKDAY(AF$3,2)&gt;5</formula>
    </cfRule>
  </conditionalFormatting>
  <conditionalFormatting sqref="B121">
    <cfRule type="duplicateValues" dxfId="1" priority="15542"/>
  </conditionalFormatting>
  <conditionalFormatting sqref="D121:E121">
    <cfRule type="expression" priority="2681">
      <formula>WEEKDAY(B$3,2)&gt;5</formula>
    </cfRule>
  </conditionalFormatting>
  <conditionalFormatting sqref="F121">
    <cfRule type="expression" priority="2499">
      <formula>WEEKDAY(D$3,2)&gt;5</formula>
    </cfRule>
  </conditionalFormatting>
  <conditionalFormatting sqref="G121">
    <cfRule type="expression" priority="2863">
      <formula>WEEKDAY(E$3,2)&gt;5</formula>
    </cfRule>
  </conditionalFormatting>
  <conditionalFormatting sqref="H121">
    <cfRule type="expression" priority="2317">
      <formula>WEEKDAY(F$3,2)&gt;5</formula>
    </cfRule>
  </conditionalFormatting>
  <conditionalFormatting sqref="I121">
    <cfRule type="expression" priority="2135">
      <formula>WEEKDAY(#REF!,2)&gt;5</formula>
    </cfRule>
  </conditionalFormatting>
  <conditionalFormatting sqref="J121">
    <cfRule type="expression" priority="1953">
      <formula>WEEKDAY(#REF!,2)&gt;5</formula>
    </cfRule>
  </conditionalFormatting>
  <conditionalFormatting sqref="K121">
    <cfRule type="expression" priority="3227">
      <formula>WEEKDAY(#REF!,2)&gt;5</formula>
    </cfRule>
  </conditionalFormatting>
  <conditionalFormatting sqref="M121">
    <cfRule type="expression" priority="1771">
      <formula>WEEKDAY(K$3,2)&gt;5</formula>
    </cfRule>
  </conditionalFormatting>
  <conditionalFormatting sqref="O121:R121">
    <cfRule type="expression" priority="1589">
      <formula>WEEKDAY(#REF!,2)&gt;5</formula>
    </cfRule>
  </conditionalFormatting>
  <conditionalFormatting sqref="S121:T121">
    <cfRule type="expression" priority="1407">
      <formula>WEEKDAY(Q$3,2)&gt;5</formula>
    </cfRule>
  </conditionalFormatting>
  <conditionalFormatting sqref="U121:Y121">
    <cfRule type="expression" priority="1225">
      <formula>WEEKDAY(#REF!,2)&gt;5</formula>
    </cfRule>
  </conditionalFormatting>
  <conditionalFormatting sqref="X121:Y121">
    <cfRule type="expression" priority="3045">
      <formula>WEEKDAY(#REF!,2)&gt;5</formula>
    </cfRule>
  </conditionalFormatting>
  <conditionalFormatting sqref="Z121:AA121">
    <cfRule type="expression" priority="1043">
      <formula>WEEKDAY(X$3,2)&gt;5</formula>
    </cfRule>
  </conditionalFormatting>
  <conditionalFormatting sqref="AB121:AF121">
    <cfRule type="expression" priority="861">
      <formula>WEEKDAY(#REF!,2)&gt;5</formula>
    </cfRule>
  </conditionalFormatting>
  <conditionalFormatting sqref="AG121">
    <cfRule type="expression" priority="497">
      <formula>WEEKDAY(AE$3,2)&gt;5</formula>
    </cfRule>
  </conditionalFormatting>
  <conditionalFormatting sqref="AH121">
    <cfRule type="expression" priority="679">
      <formula>WEEKDAY(AF$3,2)&gt;5</formula>
    </cfRule>
  </conditionalFormatting>
  <conditionalFormatting sqref="D122:E122">
    <cfRule type="expression" priority="248">
      <formula>WEEKDAY(B$3,2)&gt;5</formula>
    </cfRule>
  </conditionalFormatting>
  <conditionalFormatting sqref="F122">
    <cfRule type="expression" priority="247">
      <formula>WEEKDAY(D$3,2)&gt;5</formula>
    </cfRule>
  </conditionalFormatting>
  <conditionalFormatting sqref="G122">
    <cfRule type="expression" priority="249">
      <formula>WEEKDAY(E$3,2)&gt;5</formula>
    </cfRule>
  </conditionalFormatting>
  <conditionalFormatting sqref="H122">
    <cfRule type="expression" priority="246">
      <formula>WEEKDAY(F$3,2)&gt;5</formula>
    </cfRule>
  </conditionalFormatting>
  <conditionalFormatting sqref="I122:L122">
    <cfRule type="expression" priority="233">
      <formula>WEEKDAY(#REF!,2)&gt;5</formula>
    </cfRule>
  </conditionalFormatting>
  <conditionalFormatting sqref="M122">
    <cfRule type="expression" priority="244">
      <formula>WEEKDAY(K$3,2)&gt;5</formula>
    </cfRule>
  </conditionalFormatting>
  <conditionalFormatting sqref="N122">
    <cfRule type="expression" priority="236">
      <formula>WEEKDAY(#REF!,2)&gt;5</formula>
    </cfRule>
  </conditionalFormatting>
  <conditionalFormatting sqref="O122:R122">
    <cfRule type="expression" priority="243">
      <formula>WEEKDAY(#REF!,2)&gt;5</formula>
    </cfRule>
  </conditionalFormatting>
  <conditionalFormatting sqref="S122:T122">
    <cfRule type="expression" priority="242">
      <formula>WEEKDAY(Q$3,2)&gt;5</formula>
    </cfRule>
  </conditionalFormatting>
  <conditionalFormatting sqref="U122:V122">
    <cfRule type="expression" priority="241">
      <formula>WEEKDAY(#REF!,2)&gt;5</formula>
    </cfRule>
  </conditionalFormatting>
  <conditionalFormatting sqref="W122">
    <cfRule type="expression" priority="232">
      <formula>WEEKDAY(#REF!,2)&gt;5</formula>
    </cfRule>
  </conditionalFormatting>
  <conditionalFormatting sqref="X122">
    <cfRule type="expression" priority="240">
      <formula>WEEKDAY(#REF!,2)&gt;5</formula>
    </cfRule>
  </conditionalFormatting>
  <conditionalFormatting sqref="Y122">
    <cfRule type="expression" priority="235">
      <formula>WEEKDAY(#REF!,2)&gt;5</formula>
    </cfRule>
  </conditionalFormatting>
  <conditionalFormatting sqref="Z122:AA122">
    <cfRule type="expression" priority="239">
      <formula>WEEKDAY(X$3,2)&gt;5</formula>
    </cfRule>
  </conditionalFormatting>
  <conditionalFormatting sqref="AB122">
    <cfRule type="expression" priority="238">
      <formula>WEEKDAY(#REF!,2)&gt;5</formula>
    </cfRule>
  </conditionalFormatting>
  <conditionalFormatting sqref="AC122">
    <cfRule type="expression" priority="237">
      <formula>WEEKDAY(#REF!,2)&gt;5</formula>
    </cfRule>
  </conditionalFormatting>
  <conditionalFormatting sqref="AD122:AF122">
    <cfRule type="expression" priority="234">
      <formula>WEEKDAY(#REF!,2)&gt;5</formula>
    </cfRule>
  </conditionalFormatting>
  <conditionalFormatting sqref="AG122:AH122">
    <cfRule type="expression" priority="245">
      <formula>WEEKDAY(#REF!,2)&gt;5</formula>
    </cfRule>
  </conditionalFormatting>
  <conditionalFormatting sqref="B123">
    <cfRule type="duplicateValues" dxfId="1" priority="15513"/>
  </conditionalFormatting>
  <conditionalFormatting sqref="D123:E123">
    <cfRule type="expression" priority="2679">
      <formula>WEEKDAY(B$3,2)&gt;5</formula>
    </cfRule>
  </conditionalFormatting>
  <conditionalFormatting sqref="F123">
    <cfRule type="expression" priority="2497">
      <formula>WEEKDAY(D$3,2)&gt;5</formula>
    </cfRule>
  </conditionalFormatting>
  <conditionalFormatting sqref="G123">
    <cfRule type="expression" priority="2861">
      <formula>WEEKDAY(E$3,2)&gt;5</formula>
    </cfRule>
  </conditionalFormatting>
  <conditionalFormatting sqref="H123">
    <cfRule type="expression" priority="2315">
      <formula>WEEKDAY(F$3,2)&gt;5</formula>
    </cfRule>
  </conditionalFormatting>
  <conditionalFormatting sqref="I123">
    <cfRule type="expression" priority="2133">
      <formula>WEEKDAY(#REF!,2)&gt;5</formula>
    </cfRule>
  </conditionalFormatting>
  <conditionalFormatting sqref="J123">
    <cfRule type="expression" priority="1951">
      <formula>WEEKDAY(#REF!,2)&gt;5</formula>
    </cfRule>
  </conditionalFormatting>
  <conditionalFormatting sqref="K123">
    <cfRule type="expression" priority="3225">
      <formula>WEEKDAY(#REF!,2)&gt;5</formula>
    </cfRule>
  </conditionalFormatting>
  <conditionalFormatting sqref="M123">
    <cfRule type="expression" priority="1769">
      <formula>WEEKDAY(K$3,2)&gt;5</formula>
    </cfRule>
  </conditionalFormatting>
  <conditionalFormatting sqref="O123:R123">
    <cfRule type="expression" priority="1587">
      <formula>WEEKDAY(#REF!,2)&gt;5</formula>
    </cfRule>
  </conditionalFormatting>
  <conditionalFormatting sqref="S123:T123">
    <cfRule type="expression" priority="1405">
      <formula>WEEKDAY(Q$3,2)&gt;5</formula>
    </cfRule>
  </conditionalFormatting>
  <conditionalFormatting sqref="U123:Y123">
    <cfRule type="expression" priority="1223">
      <formula>WEEKDAY(#REF!,2)&gt;5</formula>
    </cfRule>
  </conditionalFormatting>
  <conditionalFormatting sqref="X123:Y123">
    <cfRule type="expression" priority="3043">
      <formula>WEEKDAY(#REF!,2)&gt;5</formula>
    </cfRule>
  </conditionalFormatting>
  <conditionalFormatting sqref="Z123:AA123">
    <cfRule type="expression" priority="1041">
      <formula>WEEKDAY(X$3,2)&gt;5</formula>
    </cfRule>
  </conditionalFormatting>
  <conditionalFormatting sqref="AB123:AF123">
    <cfRule type="expression" priority="859">
      <formula>WEEKDAY(#REF!,2)&gt;5</formula>
    </cfRule>
  </conditionalFormatting>
  <conditionalFormatting sqref="AG123">
    <cfRule type="expression" priority="495">
      <formula>WEEKDAY(AE$3,2)&gt;5</formula>
    </cfRule>
  </conditionalFormatting>
  <conditionalFormatting sqref="AH123">
    <cfRule type="expression" priority="677">
      <formula>WEEKDAY(AF$3,2)&gt;5</formula>
    </cfRule>
  </conditionalFormatting>
  <conditionalFormatting sqref="D124:E124">
    <cfRule type="expression" priority="2678">
      <formula>WEEKDAY(B$3,2)&gt;5</formula>
    </cfRule>
  </conditionalFormatting>
  <conditionalFormatting sqref="F124">
    <cfRule type="expression" priority="2496">
      <formula>WEEKDAY(D$3,2)&gt;5</formula>
    </cfRule>
  </conditionalFormatting>
  <conditionalFormatting sqref="G124">
    <cfRule type="expression" priority="2860">
      <formula>WEEKDAY(E$3,2)&gt;5</formula>
    </cfRule>
  </conditionalFormatting>
  <conditionalFormatting sqref="H124">
    <cfRule type="expression" priority="2314">
      <formula>WEEKDAY(F$3,2)&gt;5</formula>
    </cfRule>
  </conditionalFormatting>
  <conditionalFormatting sqref="I124">
    <cfRule type="expression" priority="2132">
      <formula>WEEKDAY(#REF!,2)&gt;5</formula>
    </cfRule>
  </conditionalFormatting>
  <conditionalFormatting sqref="J124">
    <cfRule type="expression" priority="1950">
      <formula>WEEKDAY(#REF!,2)&gt;5</formula>
    </cfRule>
  </conditionalFormatting>
  <conditionalFormatting sqref="K124">
    <cfRule type="expression" priority="3224">
      <formula>WEEKDAY(#REF!,2)&gt;5</formula>
    </cfRule>
  </conditionalFormatting>
  <conditionalFormatting sqref="M124">
    <cfRule type="expression" priority="1768">
      <formula>WEEKDAY(K$3,2)&gt;5</formula>
    </cfRule>
  </conditionalFormatting>
  <conditionalFormatting sqref="O124:R124">
    <cfRule type="expression" priority="1586">
      <formula>WEEKDAY(#REF!,2)&gt;5</formula>
    </cfRule>
  </conditionalFormatting>
  <conditionalFormatting sqref="S124:T124">
    <cfRule type="expression" priority="1404">
      <formula>WEEKDAY(Q$3,2)&gt;5</formula>
    </cfRule>
  </conditionalFormatting>
  <conditionalFormatting sqref="U124:Y124">
    <cfRule type="expression" priority="1222">
      <formula>WEEKDAY(#REF!,2)&gt;5</formula>
    </cfRule>
  </conditionalFormatting>
  <conditionalFormatting sqref="X124:Y124">
    <cfRule type="expression" priority="3042">
      <formula>WEEKDAY(#REF!,2)&gt;5</formula>
    </cfRule>
  </conditionalFormatting>
  <conditionalFormatting sqref="Z124:AA124">
    <cfRule type="expression" priority="1040">
      <formula>WEEKDAY(X$3,2)&gt;5</formula>
    </cfRule>
  </conditionalFormatting>
  <conditionalFormatting sqref="AC124">
    <cfRule type="expression" priority="231">
      <formula>WEEKDAY(#REF!,2)&gt;5</formula>
    </cfRule>
  </conditionalFormatting>
  <conditionalFormatting sqref="AG124">
    <cfRule type="expression" priority="494">
      <formula>WEEKDAY(AE$3,2)&gt;5</formula>
    </cfRule>
  </conditionalFormatting>
  <conditionalFormatting sqref="AH124">
    <cfRule type="expression" priority="676">
      <formula>WEEKDAY(AF$3,2)&gt;5</formula>
    </cfRule>
  </conditionalFormatting>
  <conditionalFormatting sqref="B125">
    <cfRule type="duplicateValues" dxfId="1" priority="15442"/>
  </conditionalFormatting>
  <conditionalFormatting sqref="D125:E125">
    <cfRule type="expression" priority="2677">
      <formula>WEEKDAY(B$3,2)&gt;5</formula>
    </cfRule>
  </conditionalFormatting>
  <conditionalFormatting sqref="F125">
    <cfRule type="expression" priority="2495">
      <formula>WEEKDAY(D$3,2)&gt;5</formula>
    </cfRule>
  </conditionalFormatting>
  <conditionalFormatting sqref="G125">
    <cfRule type="expression" priority="2859">
      <formula>WEEKDAY(E$3,2)&gt;5</formula>
    </cfRule>
  </conditionalFormatting>
  <conditionalFormatting sqref="H125">
    <cfRule type="expression" priority="2313">
      <formula>WEEKDAY(F$3,2)&gt;5</formula>
    </cfRule>
  </conditionalFormatting>
  <conditionalFormatting sqref="I125">
    <cfRule type="expression" priority="2131">
      <formula>WEEKDAY(#REF!,2)&gt;5</formula>
    </cfRule>
  </conditionalFormatting>
  <conditionalFormatting sqref="J125">
    <cfRule type="expression" priority="1949">
      <formula>WEEKDAY(#REF!,2)&gt;5</formula>
    </cfRule>
  </conditionalFormatting>
  <conditionalFormatting sqref="K125">
    <cfRule type="expression" priority="3223">
      <formula>WEEKDAY(#REF!,2)&gt;5</formula>
    </cfRule>
  </conditionalFormatting>
  <conditionalFormatting sqref="M125">
    <cfRule type="expression" priority="1767">
      <formula>WEEKDAY(K$3,2)&gt;5</formula>
    </cfRule>
  </conditionalFormatting>
  <conditionalFormatting sqref="O125:R125">
    <cfRule type="expression" priority="1585">
      <formula>WEEKDAY(#REF!,2)&gt;5</formula>
    </cfRule>
  </conditionalFormatting>
  <conditionalFormatting sqref="S125:T125">
    <cfRule type="expression" priority="1403">
      <formula>WEEKDAY(Q$3,2)&gt;5</formula>
    </cfRule>
  </conditionalFormatting>
  <conditionalFormatting sqref="U125:Y125">
    <cfRule type="expression" priority="1221">
      <formula>WEEKDAY(#REF!,2)&gt;5</formula>
    </cfRule>
  </conditionalFormatting>
  <conditionalFormatting sqref="X125:Y125">
    <cfRule type="expression" priority="3041">
      <formula>WEEKDAY(#REF!,2)&gt;5</formula>
    </cfRule>
  </conditionalFormatting>
  <conditionalFormatting sqref="Z125:AA125">
    <cfRule type="expression" priority="1039">
      <formula>WEEKDAY(X$3,2)&gt;5</formula>
    </cfRule>
  </conditionalFormatting>
  <conditionalFormatting sqref="AB125:AF125">
    <cfRule type="expression" priority="4">
      <formula>WEEKDAY(#REF!,2)&gt;5</formula>
    </cfRule>
  </conditionalFormatting>
  <conditionalFormatting sqref="AG125">
    <cfRule type="expression" priority="493">
      <formula>WEEKDAY(AE$3,2)&gt;5</formula>
    </cfRule>
  </conditionalFormatting>
  <conditionalFormatting sqref="AH125">
    <cfRule type="expression" priority="675">
      <formula>WEEKDAY(AF$3,2)&gt;5</formula>
    </cfRule>
  </conditionalFormatting>
  <conditionalFormatting sqref="D126:E126">
    <cfRule type="expression" priority="2675">
      <formula>WEEKDAY(B$3,2)&gt;5</formula>
    </cfRule>
  </conditionalFormatting>
  <conditionalFormatting sqref="F126">
    <cfRule type="expression" priority="2493">
      <formula>WEEKDAY(D$3,2)&gt;5</formula>
    </cfRule>
  </conditionalFormatting>
  <conditionalFormatting sqref="G126">
    <cfRule type="expression" priority="2857">
      <formula>WEEKDAY(E$3,2)&gt;5</formula>
    </cfRule>
  </conditionalFormatting>
  <conditionalFormatting sqref="H126">
    <cfRule type="expression" priority="2311">
      <formula>WEEKDAY(F$3,2)&gt;5</formula>
    </cfRule>
  </conditionalFormatting>
  <conditionalFormatting sqref="I126">
    <cfRule type="expression" priority="2129">
      <formula>WEEKDAY(#REF!,2)&gt;5</formula>
    </cfRule>
  </conditionalFormatting>
  <conditionalFormatting sqref="J126:L126">
    <cfRule type="expression" priority="7">
      <formula>WEEKDAY(#REF!,2)&gt;5</formula>
    </cfRule>
  </conditionalFormatting>
  <conditionalFormatting sqref="M126">
    <cfRule type="expression" priority="1765">
      <formula>WEEKDAY(K$3,2)&gt;5</formula>
    </cfRule>
  </conditionalFormatting>
  <conditionalFormatting sqref="N126:R126">
    <cfRule type="expression" priority="6">
      <formula>WEEKDAY(#REF!,2)&gt;5</formula>
    </cfRule>
  </conditionalFormatting>
  <conditionalFormatting sqref="S126:T126">
    <cfRule type="expression" priority="1401">
      <formula>WEEKDAY(Q$3,2)&gt;5</formula>
    </cfRule>
  </conditionalFormatting>
  <conditionalFormatting sqref="U126:Y126">
    <cfRule type="expression" priority="5">
      <formula>WEEKDAY(#REF!,2)&gt;5</formula>
    </cfRule>
  </conditionalFormatting>
  <conditionalFormatting sqref="Z126:AA126">
    <cfRule type="expression" priority="1037">
      <formula>WEEKDAY(X$3,2)&gt;5</formula>
    </cfRule>
  </conditionalFormatting>
  <conditionalFormatting sqref="AB126:AF126">
    <cfRule type="expression" priority="855">
      <formula>WEEKDAY(#REF!,2)&gt;5</formula>
    </cfRule>
  </conditionalFormatting>
  <conditionalFormatting sqref="AG126">
    <cfRule type="expression" priority="491">
      <formula>WEEKDAY(AE$3,2)&gt;5</formula>
    </cfRule>
  </conditionalFormatting>
  <conditionalFormatting sqref="AH126">
    <cfRule type="expression" priority="673">
      <formula>WEEKDAY(AF$3,2)&gt;5</formula>
    </cfRule>
  </conditionalFormatting>
  <conditionalFormatting sqref="D127:E127">
    <cfRule type="expression" priority="2674">
      <formula>WEEKDAY(B$3,2)&gt;5</formula>
    </cfRule>
  </conditionalFormatting>
  <conditionalFormatting sqref="F127">
    <cfRule type="expression" priority="2492">
      <formula>WEEKDAY(D$3,2)&gt;5</formula>
    </cfRule>
  </conditionalFormatting>
  <conditionalFormatting sqref="G127">
    <cfRule type="expression" priority="2856">
      <formula>WEEKDAY(E$3,2)&gt;5</formula>
    </cfRule>
  </conditionalFormatting>
  <conditionalFormatting sqref="H127">
    <cfRule type="expression" priority="2310">
      <formula>WEEKDAY(F$3,2)&gt;5</formula>
    </cfRule>
  </conditionalFormatting>
  <conditionalFormatting sqref="I127">
    <cfRule type="expression" priority="2128">
      <formula>WEEKDAY(#REF!,2)&gt;5</formula>
    </cfRule>
  </conditionalFormatting>
  <conditionalFormatting sqref="J127">
    <cfRule type="expression" priority="1946">
      <formula>WEEKDAY(#REF!,2)&gt;5</formula>
    </cfRule>
  </conditionalFormatting>
  <conditionalFormatting sqref="K127">
    <cfRule type="expression" priority="3220">
      <formula>WEEKDAY(#REF!,2)&gt;5</formula>
    </cfRule>
  </conditionalFormatting>
  <conditionalFormatting sqref="M127">
    <cfRule type="expression" priority="1764">
      <formula>WEEKDAY(K$3,2)&gt;5</formula>
    </cfRule>
  </conditionalFormatting>
  <conditionalFormatting sqref="O127:R127">
    <cfRule type="expression" priority="1582">
      <formula>WEEKDAY(#REF!,2)&gt;5</formula>
    </cfRule>
  </conditionalFormatting>
  <conditionalFormatting sqref="S127:T127">
    <cfRule type="expression" priority="1400">
      <formula>WEEKDAY(Q$3,2)&gt;5</formula>
    </cfRule>
  </conditionalFormatting>
  <conditionalFormatting sqref="U127:Y127">
    <cfRule type="expression" priority="1218">
      <formula>WEEKDAY(#REF!,2)&gt;5</formula>
    </cfRule>
  </conditionalFormatting>
  <conditionalFormatting sqref="X127:Y127">
    <cfRule type="expression" priority="3038">
      <formula>WEEKDAY(#REF!,2)&gt;5</formula>
    </cfRule>
  </conditionalFormatting>
  <conditionalFormatting sqref="Z127:AA127">
    <cfRule type="expression" priority="1036">
      <formula>WEEKDAY(X$3,2)&gt;5</formula>
    </cfRule>
  </conditionalFormatting>
  <conditionalFormatting sqref="AB127:AF127">
    <cfRule type="expression" priority="854">
      <formula>WEEKDAY(#REF!,2)&gt;5</formula>
    </cfRule>
  </conditionalFormatting>
  <conditionalFormatting sqref="AG127">
    <cfRule type="expression" priority="490">
      <formula>WEEKDAY(AE$3,2)&gt;5</formula>
    </cfRule>
  </conditionalFormatting>
  <conditionalFormatting sqref="AH127">
    <cfRule type="expression" priority="672">
      <formula>WEEKDAY(AF$3,2)&gt;5</formula>
    </cfRule>
  </conditionalFormatting>
  <conditionalFormatting sqref="D128:E128">
    <cfRule type="expression" priority="2673">
      <formula>WEEKDAY(B$3,2)&gt;5</formula>
    </cfRule>
  </conditionalFormatting>
  <conditionalFormatting sqref="F128">
    <cfRule type="expression" priority="2491">
      <formula>WEEKDAY(D$3,2)&gt;5</formula>
    </cfRule>
  </conditionalFormatting>
  <conditionalFormatting sqref="G128">
    <cfRule type="expression" priority="2855">
      <formula>WEEKDAY(E$3,2)&gt;5</formula>
    </cfRule>
  </conditionalFormatting>
  <conditionalFormatting sqref="H128">
    <cfRule type="expression" priority="2309">
      <formula>WEEKDAY(F$3,2)&gt;5</formula>
    </cfRule>
  </conditionalFormatting>
  <conditionalFormatting sqref="I128">
    <cfRule type="expression" priority="2127">
      <formula>WEEKDAY(#REF!,2)&gt;5</formula>
    </cfRule>
  </conditionalFormatting>
  <conditionalFormatting sqref="J128">
    <cfRule type="expression" priority="1945">
      <formula>WEEKDAY(#REF!,2)&gt;5</formula>
    </cfRule>
  </conditionalFormatting>
  <conditionalFormatting sqref="K128">
    <cfRule type="expression" priority="3219">
      <formula>WEEKDAY(#REF!,2)&gt;5</formula>
    </cfRule>
  </conditionalFormatting>
  <conditionalFormatting sqref="M128">
    <cfRule type="expression" priority="1763">
      <formula>WEEKDAY(K$3,2)&gt;5</formula>
    </cfRule>
  </conditionalFormatting>
  <conditionalFormatting sqref="O128:R128">
    <cfRule type="expression" priority="1581">
      <formula>WEEKDAY(#REF!,2)&gt;5</formula>
    </cfRule>
  </conditionalFormatting>
  <conditionalFormatting sqref="S128:T128">
    <cfRule type="expression" priority="1399">
      <formula>WEEKDAY(Q$3,2)&gt;5</formula>
    </cfRule>
  </conditionalFormatting>
  <conditionalFormatting sqref="U128:W128">
    <cfRule type="expression" priority="1217">
      <formula>WEEKDAY(#REF!,2)&gt;5</formula>
    </cfRule>
  </conditionalFormatting>
  <conditionalFormatting sqref="X128">
    <cfRule type="expression" priority="162">
      <formula>WEEKDAY(#REF!,2)&gt;5</formula>
    </cfRule>
  </conditionalFormatting>
  <conditionalFormatting sqref="Y128">
    <cfRule type="expression" priority="161">
      <formula>WEEKDAY(#REF!,2)&gt;5</formula>
    </cfRule>
  </conditionalFormatting>
  <conditionalFormatting sqref="Z128:AA128">
    <cfRule type="expression" priority="1035">
      <formula>WEEKDAY(X$3,2)&gt;5</formula>
    </cfRule>
  </conditionalFormatting>
  <conditionalFormatting sqref="AB128:AF128">
    <cfRule type="expression" priority="160">
      <formula>WEEKDAY(#REF!,2)&gt;5</formula>
    </cfRule>
  </conditionalFormatting>
  <conditionalFormatting sqref="AG128">
    <cfRule type="expression" priority="489">
      <formula>WEEKDAY(AE$3,2)&gt;5</formula>
    </cfRule>
  </conditionalFormatting>
  <conditionalFormatting sqref="AH128">
    <cfRule type="expression" priority="671">
      <formula>WEEKDAY(AF$3,2)&gt;5</formula>
    </cfRule>
  </conditionalFormatting>
  <conditionalFormatting sqref="J129">
    <cfRule type="expression" priority="1948">
      <formula>WEEKDAY(#REF!,2)&gt;5</formula>
    </cfRule>
  </conditionalFormatting>
  <conditionalFormatting sqref="K129">
    <cfRule type="expression" priority="3222">
      <formula>WEEKDAY(#REF!,2)&gt;5</formula>
    </cfRule>
  </conditionalFormatting>
  <conditionalFormatting sqref="M129">
    <cfRule type="expression" priority="1766">
      <formula>WEEKDAY(K$3,2)&gt;5</formula>
    </cfRule>
  </conditionalFormatting>
  <conditionalFormatting sqref="O129:Q129">
    <cfRule type="expression" priority="1584">
      <formula>WEEKDAY(#REF!,2)&gt;5</formula>
    </cfRule>
  </conditionalFormatting>
  <conditionalFormatting sqref="R129">
    <cfRule type="expression" priority="251">
      <formula>WEEKDAY(#REF!,2)&gt;5</formula>
    </cfRule>
  </conditionalFormatting>
  <conditionalFormatting sqref="S129:T129">
    <cfRule type="expression" priority="1402">
      <formula>WEEKDAY(Q$3,2)&gt;5</formula>
    </cfRule>
  </conditionalFormatting>
  <conditionalFormatting sqref="J130:T130">
    <cfRule type="expression" priority="250">
      <formula>WEEKDAY(H$3,2)&gt;5</formula>
    </cfRule>
  </conditionalFormatting>
  <conditionalFormatting sqref="D131:E131">
    <cfRule type="expression" priority="2672">
      <formula>WEEKDAY(B$3,2)&gt;5</formula>
    </cfRule>
  </conditionalFormatting>
  <conditionalFormatting sqref="F131">
    <cfRule type="expression" priority="2490">
      <formula>WEEKDAY(D$3,2)&gt;5</formula>
    </cfRule>
  </conditionalFormatting>
  <conditionalFormatting sqref="G131">
    <cfRule type="expression" priority="2854">
      <formula>WEEKDAY(E$3,2)&gt;5</formula>
    </cfRule>
  </conditionalFormatting>
  <conditionalFormatting sqref="H131">
    <cfRule type="expression" priority="2308">
      <formula>WEEKDAY(F$3,2)&gt;5</formula>
    </cfRule>
  </conditionalFormatting>
  <conditionalFormatting sqref="I131">
    <cfRule type="expression" priority="2126">
      <formula>WEEKDAY(#REF!,2)&gt;5</formula>
    </cfRule>
  </conditionalFormatting>
  <conditionalFormatting sqref="J131">
    <cfRule type="expression" priority="1944">
      <formula>WEEKDAY(#REF!,2)&gt;5</formula>
    </cfRule>
  </conditionalFormatting>
  <conditionalFormatting sqref="K131">
    <cfRule type="expression" priority="340">
      <formula>WEEKDAY(#REF!,2)&gt;5</formula>
    </cfRule>
  </conditionalFormatting>
  <conditionalFormatting sqref="M131">
    <cfRule type="expression" priority="1762">
      <formula>WEEKDAY(K$3,2)&gt;5</formula>
    </cfRule>
  </conditionalFormatting>
  <conditionalFormatting sqref="O131:Q131">
    <cfRule type="expression" priority="1580">
      <formula>WEEKDAY(#REF!,2)&gt;5</formula>
    </cfRule>
  </conditionalFormatting>
  <conditionalFormatting sqref="R131">
    <cfRule type="expression" priority="339">
      <formula>WEEKDAY(#REF!,2)&gt;5</formula>
    </cfRule>
  </conditionalFormatting>
  <conditionalFormatting sqref="S131:T131">
    <cfRule type="expression" priority="1398">
      <formula>WEEKDAY(Q$3,2)&gt;5</formula>
    </cfRule>
  </conditionalFormatting>
  <conditionalFormatting sqref="U131:Y131">
    <cfRule type="expression" priority="1216">
      <formula>WEEKDAY(#REF!,2)&gt;5</formula>
    </cfRule>
  </conditionalFormatting>
  <conditionalFormatting sqref="X131:Y131">
    <cfRule type="expression" priority="3036">
      <formula>WEEKDAY(#REF!,2)&gt;5</formula>
    </cfRule>
  </conditionalFormatting>
  <conditionalFormatting sqref="Z131:AA131">
    <cfRule type="expression" priority="1034">
      <formula>WEEKDAY(X$3,2)&gt;5</formula>
    </cfRule>
  </conditionalFormatting>
  <conditionalFormatting sqref="AB131:AF131">
    <cfRule type="expression" priority="852">
      <formula>WEEKDAY(#REF!,2)&gt;5</formula>
    </cfRule>
  </conditionalFormatting>
  <conditionalFormatting sqref="AG131">
    <cfRule type="expression" priority="488">
      <formula>WEEKDAY(AE$3,2)&gt;5</formula>
    </cfRule>
  </conditionalFormatting>
  <conditionalFormatting sqref="AH131">
    <cfRule type="expression" priority="670">
      <formula>WEEKDAY(AF$3,2)&gt;5</formula>
    </cfRule>
  </conditionalFormatting>
  <conditionalFormatting sqref="D132:E132">
    <cfRule type="expression" priority="2671">
      <formula>WEEKDAY(B$3,2)&gt;5</formula>
    </cfRule>
  </conditionalFormatting>
  <conditionalFormatting sqref="F132">
    <cfRule type="expression" priority="2489">
      <formula>WEEKDAY(D$3,2)&gt;5</formula>
    </cfRule>
  </conditionalFormatting>
  <conditionalFormatting sqref="G132">
    <cfRule type="expression" priority="2853">
      <formula>WEEKDAY(E$3,2)&gt;5</formula>
    </cfRule>
  </conditionalFormatting>
  <conditionalFormatting sqref="H132">
    <cfRule type="expression" priority="2307">
      <formula>WEEKDAY(F$3,2)&gt;5</formula>
    </cfRule>
  </conditionalFormatting>
  <conditionalFormatting sqref="I132">
    <cfRule type="expression" priority="2125">
      <formula>WEEKDAY(#REF!,2)&gt;5</formula>
    </cfRule>
  </conditionalFormatting>
  <conditionalFormatting sqref="J132">
    <cfRule type="expression" priority="1943">
      <formula>WEEKDAY(#REF!,2)&gt;5</formula>
    </cfRule>
  </conditionalFormatting>
  <conditionalFormatting sqref="K132">
    <cfRule type="expression" priority="3217">
      <formula>WEEKDAY(#REF!,2)&gt;5</formula>
    </cfRule>
  </conditionalFormatting>
  <conditionalFormatting sqref="M132">
    <cfRule type="expression" priority="1761">
      <formula>WEEKDAY(K$3,2)&gt;5</formula>
    </cfRule>
  </conditionalFormatting>
  <conditionalFormatting sqref="P132">
    <cfRule type="expression" priority="332">
      <formula>WEEKDAY(#REF!,2)&gt;5</formula>
    </cfRule>
  </conditionalFormatting>
  <conditionalFormatting sqref="S132:T132">
    <cfRule type="expression" priority="1397">
      <formula>WEEKDAY(Q$3,2)&gt;5</formula>
    </cfRule>
  </conditionalFormatting>
  <conditionalFormatting sqref="X132">
    <cfRule type="expression" priority="331">
      <formula>WEEKDAY(#REF!,2)&gt;5</formula>
    </cfRule>
  </conditionalFormatting>
  <conditionalFormatting sqref="Y132">
    <cfRule type="expression" priority="3035">
      <formula>WEEKDAY(#REF!,2)&gt;5</formula>
    </cfRule>
  </conditionalFormatting>
  <conditionalFormatting sqref="Z132:AA132">
    <cfRule type="expression" priority="1033">
      <formula>WEEKDAY(X$3,2)&gt;5</formula>
    </cfRule>
  </conditionalFormatting>
  <conditionalFormatting sqref="AB132:AE132">
    <cfRule type="expression" priority="851">
      <formula>WEEKDAY(#REF!,2)&gt;5</formula>
    </cfRule>
  </conditionalFormatting>
  <conditionalFormatting sqref="AF132">
    <cfRule type="expression" priority="330">
      <formula>WEEKDAY(#REF!,2)&gt;5</formula>
    </cfRule>
  </conditionalFormatting>
  <conditionalFormatting sqref="AG132">
    <cfRule type="expression" priority="487">
      <formula>WEEKDAY(AE$3,2)&gt;5</formula>
    </cfRule>
  </conditionalFormatting>
  <conditionalFormatting sqref="AH132">
    <cfRule type="expression" priority="669">
      <formula>WEEKDAY(AF$3,2)&gt;5</formula>
    </cfRule>
  </conditionalFormatting>
  <conditionalFormatting sqref="B133">
    <cfRule type="duplicateValues" dxfId="1" priority="15540"/>
  </conditionalFormatting>
  <conditionalFormatting sqref="D133:E133">
    <cfRule type="expression" priority="2670">
      <formula>WEEKDAY(B$3,2)&gt;5</formula>
    </cfRule>
  </conditionalFormatting>
  <conditionalFormatting sqref="F133">
    <cfRule type="expression" priority="2488">
      <formula>WEEKDAY(D$3,2)&gt;5</formula>
    </cfRule>
  </conditionalFormatting>
  <conditionalFormatting sqref="G133">
    <cfRule type="expression" priority="2852">
      <formula>WEEKDAY(E$3,2)&gt;5</formula>
    </cfRule>
  </conditionalFormatting>
  <conditionalFormatting sqref="H133">
    <cfRule type="expression" priority="2306">
      <formula>WEEKDAY(F$3,2)&gt;5</formula>
    </cfRule>
  </conditionalFormatting>
  <conditionalFormatting sqref="I133">
    <cfRule type="expression" priority="2124">
      <formula>WEEKDAY(#REF!,2)&gt;5</formula>
    </cfRule>
  </conditionalFormatting>
  <conditionalFormatting sqref="J133">
    <cfRule type="expression" priority="1942">
      <formula>WEEKDAY(#REF!,2)&gt;5</formula>
    </cfRule>
  </conditionalFormatting>
  <conditionalFormatting sqref="K133">
    <cfRule type="expression" priority="3216">
      <formula>WEEKDAY(#REF!,2)&gt;5</formula>
    </cfRule>
  </conditionalFormatting>
  <conditionalFormatting sqref="L133">
    <cfRule type="expression" priority="329">
      <formula>WEEKDAY(#REF!,2)&gt;5</formula>
    </cfRule>
  </conditionalFormatting>
  <conditionalFormatting sqref="M133">
    <cfRule type="expression" priority="1760">
      <formula>WEEKDAY(K$3,2)&gt;5</formula>
    </cfRule>
  </conditionalFormatting>
  <conditionalFormatting sqref="N133">
    <cfRule type="expression" priority="328">
      <formula>WEEKDAY(#REF!,2)&gt;5</formula>
    </cfRule>
  </conditionalFormatting>
  <conditionalFormatting sqref="O133">
    <cfRule type="expression" priority="327">
      <formula>WEEKDAY(#REF!,2)&gt;5</formula>
    </cfRule>
  </conditionalFormatting>
  <conditionalFormatting sqref="P133">
    <cfRule type="expression" priority="326">
      <formula>WEEKDAY(#REF!,2)&gt;5</formula>
    </cfRule>
  </conditionalFormatting>
  <conditionalFormatting sqref="Q133">
    <cfRule type="expression" priority="325">
      <formula>WEEKDAY(#REF!,2)&gt;5</formula>
    </cfRule>
  </conditionalFormatting>
  <conditionalFormatting sqref="R133">
    <cfRule type="expression" priority="1578">
      <formula>WEEKDAY(#REF!,2)&gt;5</formula>
    </cfRule>
  </conditionalFormatting>
  <conditionalFormatting sqref="S133:T133">
    <cfRule type="expression" priority="1396">
      <formula>WEEKDAY(Q$3,2)&gt;5</formula>
    </cfRule>
  </conditionalFormatting>
  <conditionalFormatting sqref="W133">
    <cfRule type="expression" priority="324">
      <formula>WEEKDAY(#REF!,2)&gt;5</formula>
    </cfRule>
  </conditionalFormatting>
  <conditionalFormatting sqref="X133:Y133">
    <cfRule type="expression" priority="3034">
      <formula>WEEKDAY(#REF!,2)&gt;5</formula>
    </cfRule>
  </conditionalFormatting>
  <conditionalFormatting sqref="Z133:AA133">
    <cfRule type="expression" priority="1032">
      <formula>WEEKDAY(X$3,2)&gt;5</formula>
    </cfRule>
  </conditionalFormatting>
  <conditionalFormatting sqref="AC133">
    <cfRule type="expression" priority="323">
      <formula>WEEKDAY(#REF!,2)&gt;5</formula>
    </cfRule>
  </conditionalFormatting>
  <conditionalFormatting sqref="AG133">
    <cfRule type="expression" priority="486">
      <formula>WEEKDAY(AE$3,2)&gt;5</formula>
    </cfRule>
  </conditionalFormatting>
  <conditionalFormatting sqref="AH133">
    <cfRule type="expression" priority="668">
      <formula>WEEKDAY(AF$3,2)&gt;5</formula>
    </cfRule>
  </conditionalFormatting>
  <conditionalFormatting sqref="B134">
    <cfRule type="duplicateValues" dxfId="1" priority="15431"/>
  </conditionalFormatting>
  <conditionalFormatting sqref="D134:E134">
    <cfRule type="expression" priority="2669">
      <formula>WEEKDAY(B$3,2)&gt;5</formula>
    </cfRule>
  </conditionalFormatting>
  <conditionalFormatting sqref="F134">
    <cfRule type="expression" priority="2487">
      <formula>WEEKDAY(D$3,2)&gt;5</formula>
    </cfRule>
  </conditionalFormatting>
  <conditionalFormatting sqref="G134">
    <cfRule type="expression" priority="2851">
      <formula>WEEKDAY(E$3,2)&gt;5</formula>
    </cfRule>
  </conditionalFormatting>
  <conditionalFormatting sqref="H134">
    <cfRule type="expression" priority="2305">
      <formula>WEEKDAY(F$3,2)&gt;5</formula>
    </cfRule>
  </conditionalFormatting>
  <conditionalFormatting sqref="I134">
    <cfRule type="expression" priority="2123">
      <formula>WEEKDAY(#REF!,2)&gt;5</formula>
    </cfRule>
  </conditionalFormatting>
  <conditionalFormatting sqref="J134">
    <cfRule type="expression" priority="1941">
      <formula>WEEKDAY(#REF!,2)&gt;5</formula>
    </cfRule>
  </conditionalFormatting>
  <conditionalFormatting sqref="K134">
    <cfRule type="expression" priority="3215">
      <formula>WEEKDAY(#REF!,2)&gt;5</formula>
    </cfRule>
  </conditionalFormatting>
  <conditionalFormatting sqref="M134">
    <cfRule type="expression" priority="1759">
      <formula>WEEKDAY(K$3,2)&gt;5</formula>
    </cfRule>
  </conditionalFormatting>
  <conditionalFormatting sqref="O134:R134">
    <cfRule type="expression" priority="1577">
      <formula>WEEKDAY(#REF!,2)&gt;5</formula>
    </cfRule>
  </conditionalFormatting>
  <conditionalFormatting sqref="S134:T134">
    <cfRule type="expression" priority="1395">
      <formula>WEEKDAY(Q$3,2)&gt;5</formula>
    </cfRule>
  </conditionalFormatting>
  <conditionalFormatting sqref="U134:Y134">
    <cfRule type="expression" priority="1213">
      <formula>WEEKDAY(#REF!,2)&gt;5</formula>
    </cfRule>
  </conditionalFormatting>
  <conditionalFormatting sqref="X134:Y134">
    <cfRule type="expression" priority="3033">
      <formula>WEEKDAY(#REF!,2)&gt;5</formula>
    </cfRule>
  </conditionalFormatting>
  <conditionalFormatting sqref="Z134:AA134">
    <cfRule type="expression" priority="1031">
      <formula>WEEKDAY(X$3,2)&gt;5</formula>
    </cfRule>
  </conditionalFormatting>
  <conditionalFormatting sqref="AE134">
    <cfRule type="expression" priority="333">
      <formula>WEEKDAY(#REF!,2)&gt;5</formula>
    </cfRule>
  </conditionalFormatting>
  <conditionalFormatting sqref="AG134">
    <cfRule type="expression" priority="485">
      <formula>WEEKDAY(AE$3,2)&gt;5</formula>
    </cfRule>
  </conditionalFormatting>
  <conditionalFormatting sqref="AH134">
    <cfRule type="expression" priority="667">
      <formula>WEEKDAY(AF$3,2)&gt;5</formula>
    </cfRule>
  </conditionalFormatting>
  <conditionalFormatting sqref="B135">
    <cfRule type="duplicateValues" dxfId="1" priority="15430"/>
  </conditionalFormatting>
  <conditionalFormatting sqref="D135:E135">
    <cfRule type="expression" priority="2668">
      <formula>WEEKDAY(B$3,2)&gt;5</formula>
    </cfRule>
  </conditionalFormatting>
  <conditionalFormatting sqref="F135">
    <cfRule type="expression" priority="2486">
      <formula>WEEKDAY(D$3,2)&gt;5</formula>
    </cfRule>
  </conditionalFormatting>
  <conditionalFormatting sqref="G135">
    <cfRule type="expression" priority="2850">
      <formula>WEEKDAY(E$3,2)&gt;5</formula>
    </cfRule>
  </conditionalFormatting>
  <conditionalFormatting sqref="H135">
    <cfRule type="expression" priority="2304">
      <formula>WEEKDAY(F$3,2)&gt;5</formula>
    </cfRule>
  </conditionalFormatting>
  <conditionalFormatting sqref="I135">
    <cfRule type="expression" priority="2122">
      <formula>WEEKDAY(#REF!,2)&gt;5</formula>
    </cfRule>
  </conditionalFormatting>
  <conditionalFormatting sqref="J135">
    <cfRule type="expression" priority="1940">
      <formula>WEEKDAY(#REF!,2)&gt;5</formula>
    </cfRule>
  </conditionalFormatting>
  <conditionalFormatting sqref="K135">
    <cfRule type="expression" priority="3214">
      <formula>WEEKDAY(#REF!,2)&gt;5</formula>
    </cfRule>
  </conditionalFormatting>
  <conditionalFormatting sqref="M135">
    <cfRule type="expression" priority="1758">
      <formula>WEEKDAY(K$3,2)&gt;5</formula>
    </cfRule>
  </conditionalFormatting>
  <conditionalFormatting sqref="O135:R135">
    <cfRule type="expression" priority="1576">
      <formula>WEEKDAY(#REF!,2)&gt;5</formula>
    </cfRule>
  </conditionalFormatting>
  <conditionalFormatting sqref="S135:T135">
    <cfRule type="expression" priority="1394">
      <formula>WEEKDAY(Q$3,2)&gt;5</formula>
    </cfRule>
  </conditionalFormatting>
  <conditionalFormatting sqref="U135:Y135">
    <cfRule type="expression" priority="1212">
      <formula>WEEKDAY(#REF!,2)&gt;5</formula>
    </cfRule>
  </conditionalFormatting>
  <conditionalFormatting sqref="X135:Y135">
    <cfRule type="expression" priority="3032">
      <formula>WEEKDAY(#REF!,2)&gt;5</formula>
    </cfRule>
  </conditionalFormatting>
  <conditionalFormatting sqref="Z135:AA135">
    <cfRule type="expression" priority="1030">
      <formula>WEEKDAY(X$3,2)&gt;5</formula>
    </cfRule>
  </conditionalFormatting>
  <conditionalFormatting sqref="AB135:AF135">
    <cfRule type="expression" priority="848">
      <formula>WEEKDAY(#REF!,2)&gt;5</formula>
    </cfRule>
  </conditionalFormatting>
  <conditionalFormatting sqref="AG135">
    <cfRule type="expression" priority="484">
      <formula>WEEKDAY(AE$3,2)&gt;5</formula>
    </cfRule>
  </conditionalFormatting>
  <conditionalFormatting sqref="AH135">
    <cfRule type="expression" priority="666">
      <formula>WEEKDAY(AF$3,2)&gt;5</formula>
    </cfRule>
  </conditionalFormatting>
  <conditionalFormatting sqref="B136">
    <cfRule type="duplicateValues" dxfId="1" priority="15539"/>
  </conditionalFormatting>
  <conditionalFormatting sqref="D136:E136">
    <cfRule type="expression" priority="2667">
      <formula>WEEKDAY(B$3,2)&gt;5</formula>
    </cfRule>
  </conditionalFormatting>
  <conditionalFormatting sqref="F136">
    <cfRule type="expression" priority="2485">
      <formula>WEEKDAY(D$3,2)&gt;5</formula>
    </cfRule>
  </conditionalFormatting>
  <conditionalFormatting sqref="G136">
    <cfRule type="expression" priority="2849">
      <formula>WEEKDAY(E$3,2)&gt;5</formula>
    </cfRule>
  </conditionalFormatting>
  <conditionalFormatting sqref="H136">
    <cfRule type="expression" priority="2303">
      <formula>WEEKDAY(F$3,2)&gt;5</formula>
    </cfRule>
  </conditionalFormatting>
  <conditionalFormatting sqref="I136">
    <cfRule type="expression" priority="2121">
      <formula>WEEKDAY(#REF!,2)&gt;5</formula>
    </cfRule>
  </conditionalFormatting>
  <conditionalFormatting sqref="J136">
    <cfRule type="expression" priority="1939">
      <formula>WEEKDAY(#REF!,2)&gt;5</formula>
    </cfRule>
  </conditionalFormatting>
  <conditionalFormatting sqref="K136">
    <cfRule type="expression" priority="3213">
      <formula>WEEKDAY(#REF!,2)&gt;5</formula>
    </cfRule>
  </conditionalFormatting>
  <conditionalFormatting sqref="M136">
    <cfRule type="expression" priority="1757">
      <formula>WEEKDAY(K$3,2)&gt;5</formula>
    </cfRule>
  </conditionalFormatting>
  <conditionalFormatting sqref="O136:Q136">
    <cfRule type="expression" priority="1575">
      <formula>WEEKDAY(#REF!,2)&gt;5</formula>
    </cfRule>
  </conditionalFormatting>
  <conditionalFormatting sqref="R136">
    <cfRule type="expression" priority="322">
      <formula>WEEKDAY(#REF!,2)&gt;5</formula>
    </cfRule>
  </conditionalFormatting>
  <conditionalFormatting sqref="S136:T136">
    <cfRule type="expression" priority="1393">
      <formula>WEEKDAY(Q$3,2)&gt;5</formula>
    </cfRule>
  </conditionalFormatting>
  <conditionalFormatting sqref="U136:Y136">
    <cfRule type="expression" priority="1211">
      <formula>WEEKDAY(#REF!,2)&gt;5</formula>
    </cfRule>
  </conditionalFormatting>
  <conditionalFormatting sqref="X136:Y136">
    <cfRule type="expression" priority="3031">
      <formula>WEEKDAY(#REF!,2)&gt;5</formula>
    </cfRule>
  </conditionalFormatting>
  <conditionalFormatting sqref="Z136:AA136">
    <cfRule type="expression" priority="1029">
      <formula>WEEKDAY(X$3,2)&gt;5</formula>
    </cfRule>
  </conditionalFormatting>
  <conditionalFormatting sqref="AB136:AF136">
    <cfRule type="expression" priority="847">
      <formula>WEEKDAY(#REF!,2)&gt;5</formula>
    </cfRule>
  </conditionalFormatting>
  <conditionalFormatting sqref="AG136">
    <cfRule type="expression" priority="483">
      <formula>WEEKDAY(AE$3,2)&gt;5</formula>
    </cfRule>
  </conditionalFormatting>
  <conditionalFormatting sqref="AH136">
    <cfRule type="expression" priority="665">
      <formula>WEEKDAY(AF$3,2)&gt;5</formula>
    </cfRule>
  </conditionalFormatting>
  <conditionalFormatting sqref="AN136">
    <cfRule type="expression" priority="8304">
      <formula>WEEKDAY(#REF!,2)&gt;5</formula>
    </cfRule>
  </conditionalFormatting>
  <conditionalFormatting sqref="B137">
    <cfRule type="duplicateValues" dxfId="1" priority="15479"/>
  </conditionalFormatting>
  <conditionalFormatting sqref="D137:E137">
    <cfRule type="expression" priority="2666">
      <formula>WEEKDAY(B$3,2)&gt;5</formula>
    </cfRule>
  </conditionalFormatting>
  <conditionalFormatting sqref="F137">
    <cfRule type="expression" priority="2484">
      <formula>WEEKDAY(D$3,2)&gt;5</formula>
    </cfRule>
  </conditionalFormatting>
  <conditionalFormatting sqref="G137">
    <cfRule type="expression" priority="2848">
      <formula>WEEKDAY(E$3,2)&gt;5</formula>
    </cfRule>
  </conditionalFormatting>
  <conditionalFormatting sqref="H137">
    <cfRule type="expression" priority="2302">
      <formula>WEEKDAY(F$3,2)&gt;5</formula>
    </cfRule>
  </conditionalFormatting>
  <conditionalFormatting sqref="I137">
    <cfRule type="expression" priority="2120">
      <formula>WEEKDAY(#REF!,2)&gt;5</formula>
    </cfRule>
  </conditionalFormatting>
  <conditionalFormatting sqref="J137">
    <cfRule type="expression" priority="1938">
      <formula>WEEKDAY(#REF!,2)&gt;5</formula>
    </cfRule>
  </conditionalFormatting>
  <conditionalFormatting sqref="K137">
    <cfRule type="expression" priority="3212">
      <formula>WEEKDAY(#REF!,2)&gt;5</formula>
    </cfRule>
  </conditionalFormatting>
  <conditionalFormatting sqref="M137">
    <cfRule type="expression" priority="1756">
      <formula>WEEKDAY(K$3,2)&gt;5</formula>
    </cfRule>
  </conditionalFormatting>
  <conditionalFormatting sqref="O137:R137">
    <cfRule type="expression" priority="1574">
      <formula>WEEKDAY(#REF!,2)&gt;5</formula>
    </cfRule>
  </conditionalFormatting>
  <conditionalFormatting sqref="S137:T137">
    <cfRule type="expression" priority="1392">
      <formula>WEEKDAY(Q$3,2)&gt;5</formula>
    </cfRule>
  </conditionalFormatting>
  <conditionalFormatting sqref="U137:Y137">
    <cfRule type="expression" priority="1210">
      <formula>WEEKDAY(#REF!,2)&gt;5</formula>
    </cfRule>
  </conditionalFormatting>
  <conditionalFormatting sqref="X137:Y137">
    <cfRule type="expression" priority="3030">
      <formula>WEEKDAY(#REF!,2)&gt;5</formula>
    </cfRule>
  </conditionalFormatting>
  <conditionalFormatting sqref="Z137:AA137">
    <cfRule type="expression" priority="1028">
      <formula>WEEKDAY(X$3,2)&gt;5</formula>
    </cfRule>
  </conditionalFormatting>
  <conditionalFormatting sqref="AB137:AF137">
    <cfRule type="expression" priority="846">
      <formula>WEEKDAY(#REF!,2)&gt;5</formula>
    </cfRule>
  </conditionalFormatting>
  <conditionalFormatting sqref="AG137">
    <cfRule type="expression" priority="482">
      <formula>WEEKDAY(AE$3,2)&gt;5</formula>
    </cfRule>
  </conditionalFormatting>
  <conditionalFormatting sqref="AH137">
    <cfRule type="expression" priority="664">
      <formula>WEEKDAY(AF$3,2)&gt;5</formula>
    </cfRule>
  </conditionalFormatting>
  <conditionalFormatting sqref="D138:E138">
    <cfRule type="expression" priority="2665">
      <formula>WEEKDAY(B$3,2)&gt;5</formula>
    </cfRule>
  </conditionalFormatting>
  <conditionalFormatting sqref="F138">
    <cfRule type="expression" priority="2483">
      <formula>WEEKDAY(D$3,2)&gt;5</formula>
    </cfRule>
  </conditionalFormatting>
  <conditionalFormatting sqref="G138">
    <cfRule type="expression" priority="2847">
      <formula>WEEKDAY(E$3,2)&gt;5</formula>
    </cfRule>
  </conditionalFormatting>
  <conditionalFormatting sqref="H138">
    <cfRule type="expression" priority="2301">
      <formula>WEEKDAY(F$3,2)&gt;5</formula>
    </cfRule>
  </conditionalFormatting>
  <conditionalFormatting sqref="I138">
    <cfRule type="expression" priority="2119">
      <formula>WEEKDAY(#REF!,2)&gt;5</formula>
    </cfRule>
  </conditionalFormatting>
  <conditionalFormatting sqref="J138">
    <cfRule type="expression" priority="1937">
      <formula>WEEKDAY(#REF!,2)&gt;5</formula>
    </cfRule>
  </conditionalFormatting>
  <conditionalFormatting sqref="K138">
    <cfRule type="expression" priority="3211">
      <formula>WEEKDAY(#REF!,2)&gt;5</formula>
    </cfRule>
  </conditionalFormatting>
  <conditionalFormatting sqref="M138">
    <cfRule type="expression" priority="1755">
      <formula>WEEKDAY(K$3,2)&gt;5</formula>
    </cfRule>
  </conditionalFormatting>
  <conditionalFormatting sqref="O138:R138">
    <cfRule type="expression" priority="1573">
      <formula>WEEKDAY(#REF!,2)&gt;5</formula>
    </cfRule>
  </conditionalFormatting>
  <conditionalFormatting sqref="S138:T138">
    <cfRule type="expression" priority="1391">
      <formula>WEEKDAY(Q$3,2)&gt;5</formula>
    </cfRule>
  </conditionalFormatting>
  <conditionalFormatting sqref="U138:Y138">
    <cfRule type="expression" priority="1209">
      <formula>WEEKDAY(#REF!,2)&gt;5</formula>
    </cfRule>
  </conditionalFormatting>
  <conditionalFormatting sqref="X138:Y138">
    <cfRule type="expression" priority="3029">
      <formula>WEEKDAY(#REF!,2)&gt;5</formula>
    </cfRule>
  </conditionalFormatting>
  <conditionalFormatting sqref="Z138:AA138">
    <cfRule type="expression" priority="1027">
      <formula>WEEKDAY(X$3,2)&gt;5</formula>
    </cfRule>
  </conditionalFormatting>
  <conditionalFormatting sqref="AB138:AF138">
    <cfRule type="expression" priority="845">
      <formula>WEEKDAY(#REF!,2)&gt;5</formula>
    </cfRule>
  </conditionalFormatting>
  <conditionalFormatting sqref="AG138">
    <cfRule type="expression" priority="481">
      <formula>WEEKDAY(AE$3,2)&gt;5</formula>
    </cfRule>
  </conditionalFormatting>
  <conditionalFormatting sqref="AH138">
    <cfRule type="expression" priority="663">
      <formula>WEEKDAY(AF$3,2)&gt;5</formula>
    </cfRule>
  </conditionalFormatting>
  <conditionalFormatting sqref="B139">
    <cfRule type="duplicateValues" dxfId="1" priority="15520"/>
  </conditionalFormatting>
  <conditionalFormatting sqref="D139:E139">
    <cfRule type="expression" priority="2664">
      <formula>WEEKDAY(B$3,2)&gt;5</formula>
    </cfRule>
  </conditionalFormatting>
  <conditionalFormatting sqref="F139">
    <cfRule type="expression" priority="2482">
      <formula>WEEKDAY(D$3,2)&gt;5</formula>
    </cfRule>
  </conditionalFormatting>
  <conditionalFormatting sqref="G139">
    <cfRule type="expression" priority="2846">
      <formula>WEEKDAY(E$3,2)&gt;5</formula>
    </cfRule>
  </conditionalFormatting>
  <conditionalFormatting sqref="H139">
    <cfRule type="expression" priority="2300">
      <formula>WEEKDAY(F$3,2)&gt;5</formula>
    </cfRule>
  </conditionalFormatting>
  <conditionalFormatting sqref="I139">
    <cfRule type="expression" priority="334">
      <formula>WEEKDAY(#REF!,2)&gt;5</formula>
    </cfRule>
  </conditionalFormatting>
  <conditionalFormatting sqref="J139">
    <cfRule type="expression" priority="1936">
      <formula>WEEKDAY(#REF!,2)&gt;5</formula>
    </cfRule>
  </conditionalFormatting>
  <conditionalFormatting sqref="K139">
    <cfRule type="expression" priority="3210">
      <formula>WEEKDAY(#REF!,2)&gt;5</formula>
    </cfRule>
  </conditionalFormatting>
  <conditionalFormatting sqref="M139">
    <cfRule type="expression" priority="1754">
      <formula>WEEKDAY(K$3,2)&gt;5</formula>
    </cfRule>
  </conditionalFormatting>
  <conditionalFormatting sqref="O139:R139">
    <cfRule type="expression" priority="1572">
      <formula>WEEKDAY(#REF!,2)&gt;5</formula>
    </cfRule>
  </conditionalFormatting>
  <conditionalFormatting sqref="S139:T139">
    <cfRule type="expression" priority="1390">
      <formula>WEEKDAY(Q$3,2)&gt;5</formula>
    </cfRule>
  </conditionalFormatting>
  <conditionalFormatting sqref="U139:Y139">
    <cfRule type="expression" priority="1208">
      <formula>WEEKDAY(#REF!,2)&gt;5</formula>
    </cfRule>
  </conditionalFormatting>
  <conditionalFormatting sqref="X139:Y139">
    <cfRule type="expression" priority="3028">
      <formula>WEEKDAY(#REF!,2)&gt;5</formula>
    </cfRule>
  </conditionalFormatting>
  <conditionalFormatting sqref="Z139:AA139">
    <cfRule type="expression" priority="1026">
      <formula>WEEKDAY(X$3,2)&gt;5</formula>
    </cfRule>
  </conditionalFormatting>
  <conditionalFormatting sqref="AB139:AF139">
    <cfRule type="expression" priority="844">
      <formula>WEEKDAY(#REF!,2)&gt;5</formula>
    </cfRule>
  </conditionalFormatting>
  <conditionalFormatting sqref="AG139">
    <cfRule type="expression" priority="480">
      <formula>WEEKDAY(AE$3,2)&gt;5</formula>
    </cfRule>
  </conditionalFormatting>
  <conditionalFormatting sqref="AH139">
    <cfRule type="expression" priority="662">
      <formula>WEEKDAY(AF$3,2)&gt;5</formula>
    </cfRule>
  </conditionalFormatting>
  <conditionalFormatting sqref="B140">
    <cfRule type="duplicateValues" dxfId="1" priority="15456"/>
  </conditionalFormatting>
  <conditionalFormatting sqref="D140:E140">
    <cfRule type="expression" priority="2663">
      <formula>WEEKDAY(B$3,2)&gt;5</formula>
    </cfRule>
  </conditionalFormatting>
  <conditionalFormatting sqref="F140">
    <cfRule type="expression" priority="2481">
      <formula>WEEKDAY(D$3,2)&gt;5</formula>
    </cfRule>
  </conditionalFormatting>
  <conditionalFormatting sqref="G140">
    <cfRule type="expression" priority="2845">
      <formula>WEEKDAY(E$3,2)&gt;5</formula>
    </cfRule>
  </conditionalFormatting>
  <conditionalFormatting sqref="H140">
    <cfRule type="expression" priority="2299">
      <formula>WEEKDAY(F$3,2)&gt;5</formula>
    </cfRule>
  </conditionalFormatting>
  <conditionalFormatting sqref="I140">
    <cfRule type="expression" priority="2117">
      <formula>WEEKDAY(#REF!,2)&gt;5</formula>
    </cfRule>
  </conditionalFormatting>
  <conditionalFormatting sqref="J140">
    <cfRule type="expression" priority="1935">
      <formula>WEEKDAY(#REF!,2)&gt;5</formula>
    </cfRule>
  </conditionalFormatting>
  <conditionalFormatting sqref="K140">
    <cfRule type="expression" priority="3209">
      <formula>WEEKDAY(#REF!,2)&gt;5</formula>
    </cfRule>
  </conditionalFormatting>
  <conditionalFormatting sqref="M140">
    <cfRule type="expression" priority="1753">
      <formula>WEEKDAY(K$3,2)&gt;5</formula>
    </cfRule>
  </conditionalFormatting>
  <conditionalFormatting sqref="O140:R140">
    <cfRule type="expression" priority="1571">
      <formula>WEEKDAY(#REF!,2)&gt;5</formula>
    </cfRule>
  </conditionalFormatting>
  <conditionalFormatting sqref="S140:T140">
    <cfRule type="expression" priority="1389">
      <formula>WEEKDAY(Q$3,2)&gt;5</formula>
    </cfRule>
  </conditionalFormatting>
  <conditionalFormatting sqref="U140:Y140">
    <cfRule type="expression" priority="1207">
      <formula>WEEKDAY(#REF!,2)&gt;5</formula>
    </cfRule>
  </conditionalFormatting>
  <conditionalFormatting sqref="X140:Y140">
    <cfRule type="expression" priority="3027">
      <formula>WEEKDAY(#REF!,2)&gt;5</formula>
    </cfRule>
  </conditionalFormatting>
  <conditionalFormatting sqref="Z140:AA140">
    <cfRule type="expression" priority="1025">
      <formula>WEEKDAY(X$3,2)&gt;5</formula>
    </cfRule>
  </conditionalFormatting>
  <conditionalFormatting sqref="AB140:AF140">
    <cfRule type="expression" priority="843">
      <formula>WEEKDAY(#REF!,2)&gt;5</formula>
    </cfRule>
  </conditionalFormatting>
  <conditionalFormatting sqref="AG140">
    <cfRule type="expression" priority="479">
      <formula>WEEKDAY(AE$3,2)&gt;5</formula>
    </cfRule>
  </conditionalFormatting>
  <conditionalFormatting sqref="AH140">
    <cfRule type="expression" priority="661">
      <formula>WEEKDAY(AF$3,2)&gt;5</formula>
    </cfRule>
  </conditionalFormatting>
  <conditionalFormatting sqref="D141:E141">
    <cfRule type="expression" priority="2662">
      <formula>WEEKDAY(B$3,2)&gt;5</formula>
    </cfRule>
  </conditionalFormatting>
  <conditionalFormatting sqref="F141">
    <cfRule type="expression" priority="2480">
      <formula>WEEKDAY(D$3,2)&gt;5</formula>
    </cfRule>
  </conditionalFormatting>
  <conditionalFormatting sqref="G141">
    <cfRule type="expression" priority="2844">
      <formula>WEEKDAY(E$3,2)&gt;5</formula>
    </cfRule>
  </conditionalFormatting>
  <conditionalFormatting sqref="H141">
    <cfRule type="expression" priority="2298">
      <formula>WEEKDAY(F$3,2)&gt;5</formula>
    </cfRule>
  </conditionalFormatting>
  <conditionalFormatting sqref="I141">
    <cfRule type="expression" priority="320">
      <formula>WEEKDAY(#REF!,2)&gt;5</formula>
    </cfRule>
  </conditionalFormatting>
  <conditionalFormatting sqref="J141">
    <cfRule type="expression" priority="1934">
      <formula>WEEKDAY(#REF!,2)&gt;5</formula>
    </cfRule>
  </conditionalFormatting>
  <conditionalFormatting sqref="K141">
    <cfRule type="expression" priority="3208">
      <formula>WEEKDAY(#REF!,2)&gt;5</formula>
    </cfRule>
  </conditionalFormatting>
  <conditionalFormatting sqref="M141">
    <cfRule type="expression" priority="1752">
      <formula>WEEKDAY(K$3,2)&gt;5</formula>
    </cfRule>
  </conditionalFormatting>
  <conditionalFormatting sqref="O141:R141">
    <cfRule type="expression" priority="1570">
      <formula>WEEKDAY(#REF!,2)&gt;5</formula>
    </cfRule>
  </conditionalFormatting>
  <conditionalFormatting sqref="S141:T141">
    <cfRule type="expression" priority="1388">
      <formula>WEEKDAY(Q$3,2)&gt;5</formula>
    </cfRule>
  </conditionalFormatting>
  <conditionalFormatting sqref="U141:Y141">
    <cfRule type="expression" priority="1206">
      <formula>WEEKDAY(#REF!,2)&gt;5</formula>
    </cfRule>
  </conditionalFormatting>
  <conditionalFormatting sqref="X141:Y141">
    <cfRule type="expression" priority="3026">
      <formula>WEEKDAY(#REF!,2)&gt;5</formula>
    </cfRule>
  </conditionalFormatting>
  <conditionalFormatting sqref="Z141:AA141">
    <cfRule type="expression" priority="1024">
      <formula>WEEKDAY(X$3,2)&gt;5</formula>
    </cfRule>
  </conditionalFormatting>
  <conditionalFormatting sqref="AB141:AF141">
    <cfRule type="expression" priority="842">
      <formula>WEEKDAY(#REF!,2)&gt;5</formula>
    </cfRule>
  </conditionalFormatting>
  <conditionalFormatting sqref="AG141">
    <cfRule type="expression" priority="478">
      <formula>WEEKDAY(AE$3,2)&gt;5</formula>
    </cfRule>
  </conditionalFormatting>
  <conditionalFormatting sqref="AH141">
    <cfRule type="expression" priority="660">
      <formula>WEEKDAY(AF$3,2)&gt;5</formula>
    </cfRule>
  </conditionalFormatting>
  <conditionalFormatting sqref="AN141">
    <cfRule type="expression" priority="8302">
      <formula>WEEKDAY(#REF!,2)&gt;5</formula>
    </cfRule>
  </conditionalFormatting>
  <conditionalFormatting sqref="D142:E142">
    <cfRule type="expression" priority="2661">
      <formula>WEEKDAY(B$3,2)&gt;5</formula>
    </cfRule>
  </conditionalFormatting>
  <conditionalFormatting sqref="F142">
    <cfRule type="expression" priority="2479">
      <formula>WEEKDAY(D$3,2)&gt;5</formula>
    </cfRule>
  </conditionalFormatting>
  <conditionalFormatting sqref="G142">
    <cfRule type="expression" priority="2843">
      <formula>WEEKDAY(E$3,2)&gt;5</formula>
    </cfRule>
  </conditionalFormatting>
  <conditionalFormatting sqref="H142">
    <cfRule type="expression" priority="2297">
      <formula>WEEKDAY(F$3,2)&gt;5</formula>
    </cfRule>
  </conditionalFormatting>
  <conditionalFormatting sqref="I142">
    <cfRule type="expression" priority="2115">
      <formula>WEEKDAY(#REF!,2)&gt;5</formula>
    </cfRule>
  </conditionalFormatting>
  <conditionalFormatting sqref="J142">
    <cfRule type="expression" priority="1933">
      <formula>WEEKDAY(#REF!,2)&gt;5</formula>
    </cfRule>
  </conditionalFormatting>
  <conditionalFormatting sqref="K142">
    <cfRule type="expression" priority="3207">
      <formula>WEEKDAY(#REF!,2)&gt;5</formula>
    </cfRule>
  </conditionalFormatting>
  <conditionalFormatting sqref="M142">
    <cfRule type="expression" priority="1751">
      <formula>WEEKDAY(K$3,2)&gt;5</formula>
    </cfRule>
  </conditionalFormatting>
  <conditionalFormatting sqref="O142:R142">
    <cfRule type="expression" priority="1569">
      <formula>WEEKDAY(#REF!,2)&gt;5</formula>
    </cfRule>
  </conditionalFormatting>
  <conditionalFormatting sqref="S142:T142">
    <cfRule type="expression" priority="1387">
      <formula>WEEKDAY(Q$3,2)&gt;5</formula>
    </cfRule>
  </conditionalFormatting>
  <conditionalFormatting sqref="U142:Y142">
    <cfRule type="expression" priority="1205">
      <formula>WEEKDAY(#REF!,2)&gt;5</formula>
    </cfRule>
  </conditionalFormatting>
  <conditionalFormatting sqref="X142:Y142">
    <cfRule type="expression" priority="3025">
      <formula>WEEKDAY(#REF!,2)&gt;5</formula>
    </cfRule>
  </conditionalFormatting>
  <conditionalFormatting sqref="Z142:AA142">
    <cfRule type="expression" priority="1023">
      <formula>WEEKDAY(X$3,2)&gt;5</formula>
    </cfRule>
  </conditionalFormatting>
  <conditionalFormatting sqref="AB142:AF142">
    <cfRule type="expression" priority="841">
      <formula>WEEKDAY(#REF!,2)&gt;5</formula>
    </cfRule>
  </conditionalFormatting>
  <conditionalFormatting sqref="AG142">
    <cfRule type="expression" priority="477">
      <formula>WEEKDAY(AE$3,2)&gt;5</formula>
    </cfRule>
  </conditionalFormatting>
  <conditionalFormatting sqref="AH142">
    <cfRule type="expression" priority="659">
      <formula>WEEKDAY(AF$3,2)&gt;5</formula>
    </cfRule>
  </conditionalFormatting>
  <conditionalFormatting sqref="D143:E143">
    <cfRule type="expression" priority="2659">
      <formula>WEEKDAY(B$3,2)&gt;5</formula>
    </cfRule>
  </conditionalFormatting>
  <conditionalFormatting sqref="F143">
    <cfRule type="expression" priority="2477">
      <formula>WEEKDAY(D$3,2)&gt;5</formula>
    </cfRule>
  </conditionalFormatting>
  <conditionalFormatting sqref="G143">
    <cfRule type="expression" priority="2841">
      <formula>WEEKDAY(E$3,2)&gt;5</formula>
    </cfRule>
  </conditionalFormatting>
  <conditionalFormatting sqref="H143">
    <cfRule type="expression" priority="2295">
      <formula>WEEKDAY(F$3,2)&gt;5</formula>
    </cfRule>
  </conditionalFormatting>
  <conditionalFormatting sqref="I143">
    <cfRule type="expression" priority="2113">
      <formula>WEEKDAY(#REF!,2)&gt;5</formula>
    </cfRule>
  </conditionalFormatting>
  <conditionalFormatting sqref="J143">
    <cfRule type="expression" priority="1931">
      <formula>WEEKDAY(#REF!,2)&gt;5</formula>
    </cfRule>
  </conditionalFormatting>
  <conditionalFormatting sqref="K143">
    <cfRule type="expression" priority="3205">
      <formula>WEEKDAY(#REF!,2)&gt;5</formula>
    </cfRule>
  </conditionalFormatting>
  <conditionalFormatting sqref="M143">
    <cfRule type="expression" priority="1749">
      <formula>WEEKDAY(K$3,2)&gt;5</formula>
    </cfRule>
  </conditionalFormatting>
  <conditionalFormatting sqref="O143:R143">
    <cfRule type="expression" priority="1567">
      <formula>WEEKDAY(#REF!,2)&gt;5</formula>
    </cfRule>
  </conditionalFormatting>
  <conditionalFormatting sqref="S143:T143">
    <cfRule type="expression" priority="1385">
      <formula>WEEKDAY(Q$3,2)&gt;5</formula>
    </cfRule>
  </conditionalFormatting>
  <conditionalFormatting sqref="U143:Y143">
    <cfRule type="expression" priority="1203">
      <formula>WEEKDAY(#REF!,2)&gt;5</formula>
    </cfRule>
  </conditionalFormatting>
  <conditionalFormatting sqref="X143:Y143">
    <cfRule type="expression" priority="3023">
      <formula>WEEKDAY(#REF!,2)&gt;5</formula>
    </cfRule>
  </conditionalFormatting>
  <conditionalFormatting sqref="Z143:AA143">
    <cfRule type="expression" priority="1021">
      <formula>WEEKDAY(X$3,2)&gt;5</formula>
    </cfRule>
  </conditionalFormatting>
  <conditionalFormatting sqref="AB143:AF143">
    <cfRule type="expression" priority="839">
      <formula>WEEKDAY(#REF!,2)&gt;5</formula>
    </cfRule>
  </conditionalFormatting>
  <conditionalFormatting sqref="AG143">
    <cfRule type="expression" priority="475">
      <formula>WEEKDAY(AE$3,2)&gt;5</formula>
    </cfRule>
  </conditionalFormatting>
  <conditionalFormatting sqref="AH143">
    <cfRule type="expression" priority="657">
      <formula>WEEKDAY(AF$3,2)&gt;5</formula>
    </cfRule>
  </conditionalFormatting>
  <conditionalFormatting sqref="B144">
    <cfRule type="duplicateValues" dxfId="1" priority="15541"/>
  </conditionalFormatting>
  <conditionalFormatting sqref="D144:E144">
    <cfRule type="expression" priority="2658">
      <formula>WEEKDAY(B$3,2)&gt;5</formula>
    </cfRule>
  </conditionalFormatting>
  <conditionalFormatting sqref="F144">
    <cfRule type="expression" priority="2476">
      <formula>WEEKDAY(D$3,2)&gt;5</formula>
    </cfRule>
  </conditionalFormatting>
  <conditionalFormatting sqref="G144">
    <cfRule type="expression" priority="2840">
      <formula>WEEKDAY(E$3,2)&gt;5</formula>
    </cfRule>
  </conditionalFormatting>
  <conditionalFormatting sqref="H144">
    <cfRule type="expression" priority="2294">
      <formula>WEEKDAY(F$3,2)&gt;5</formula>
    </cfRule>
  </conditionalFormatting>
  <conditionalFormatting sqref="I144">
    <cfRule type="expression" priority="2112">
      <formula>WEEKDAY(#REF!,2)&gt;5</formula>
    </cfRule>
  </conditionalFormatting>
  <conditionalFormatting sqref="J144">
    <cfRule type="expression" priority="1930">
      <formula>WEEKDAY(#REF!,2)&gt;5</formula>
    </cfRule>
  </conditionalFormatting>
  <conditionalFormatting sqref="K144">
    <cfRule type="expression" priority="3204">
      <formula>WEEKDAY(#REF!,2)&gt;5</formula>
    </cfRule>
  </conditionalFormatting>
  <conditionalFormatting sqref="M144">
    <cfRule type="expression" priority="1748">
      <formula>WEEKDAY(K$3,2)&gt;5</formula>
    </cfRule>
  </conditionalFormatting>
  <conditionalFormatting sqref="O144:R144">
    <cfRule type="expression" priority="1566">
      <formula>WEEKDAY(#REF!,2)&gt;5</formula>
    </cfRule>
  </conditionalFormatting>
  <conditionalFormatting sqref="S144:T144">
    <cfRule type="expression" priority="1384">
      <formula>WEEKDAY(Q$3,2)&gt;5</formula>
    </cfRule>
  </conditionalFormatting>
  <conditionalFormatting sqref="U144:Y144">
    <cfRule type="expression" priority="1202">
      <formula>WEEKDAY(#REF!,2)&gt;5</formula>
    </cfRule>
  </conditionalFormatting>
  <conditionalFormatting sqref="X144:Y144">
    <cfRule type="expression" priority="3022">
      <formula>WEEKDAY(#REF!,2)&gt;5</formula>
    </cfRule>
  </conditionalFormatting>
  <conditionalFormatting sqref="Z144:AA144">
    <cfRule type="expression" priority="1020">
      <formula>WEEKDAY(X$3,2)&gt;5</formula>
    </cfRule>
  </conditionalFormatting>
  <conditionalFormatting sqref="AB144:AF144">
    <cfRule type="expression" priority="838">
      <formula>WEEKDAY(#REF!,2)&gt;5</formula>
    </cfRule>
  </conditionalFormatting>
  <conditionalFormatting sqref="AG144">
    <cfRule type="expression" priority="474">
      <formula>WEEKDAY(AE$3,2)&gt;5</formula>
    </cfRule>
  </conditionalFormatting>
  <conditionalFormatting sqref="AH144">
    <cfRule type="expression" priority="656">
      <formula>WEEKDAY(AF$3,2)&gt;5</formula>
    </cfRule>
  </conditionalFormatting>
  <conditionalFormatting sqref="B145">
    <cfRule type="duplicateValues" dxfId="1" priority="15523"/>
  </conditionalFormatting>
  <conditionalFormatting sqref="D145:E145">
    <cfRule type="expression" priority="2657">
      <formula>WEEKDAY(B$3,2)&gt;5</formula>
    </cfRule>
  </conditionalFormatting>
  <conditionalFormatting sqref="F145">
    <cfRule type="expression" priority="2475">
      <formula>WEEKDAY(D$3,2)&gt;5</formula>
    </cfRule>
  </conditionalFormatting>
  <conditionalFormatting sqref="G145">
    <cfRule type="expression" priority="2839">
      <formula>WEEKDAY(E$3,2)&gt;5</formula>
    </cfRule>
  </conditionalFormatting>
  <conditionalFormatting sqref="H145">
    <cfRule type="expression" priority="2293">
      <formula>WEEKDAY(F$3,2)&gt;5</formula>
    </cfRule>
  </conditionalFormatting>
  <conditionalFormatting sqref="I145">
    <cfRule type="expression" priority="2111">
      <formula>WEEKDAY(#REF!,2)&gt;5</formula>
    </cfRule>
  </conditionalFormatting>
  <conditionalFormatting sqref="J145">
    <cfRule type="expression" priority="1929">
      <formula>WEEKDAY(#REF!,2)&gt;5</formula>
    </cfRule>
  </conditionalFormatting>
  <conditionalFormatting sqref="K145">
    <cfRule type="expression" priority="3203">
      <formula>WEEKDAY(#REF!,2)&gt;5</formula>
    </cfRule>
  </conditionalFormatting>
  <conditionalFormatting sqref="M145">
    <cfRule type="expression" priority="1747">
      <formula>WEEKDAY(K$3,2)&gt;5</formula>
    </cfRule>
  </conditionalFormatting>
  <conditionalFormatting sqref="O145:R145">
    <cfRule type="expression" priority="1565">
      <formula>WEEKDAY(#REF!,2)&gt;5</formula>
    </cfRule>
  </conditionalFormatting>
  <conditionalFormatting sqref="S145:T145">
    <cfRule type="expression" priority="1383">
      <formula>WEEKDAY(Q$3,2)&gt;5</formula>
    </cfRule>
  </conditionalFormatting>
  <conditionalFormatting sqref="U145:Y145">
    <cfRule type="expression" priority="1201">
      <formula>WEEKDAY(#REF!,2)&gt;5</formula>
    </cfRule>
  </conditionalFormatting>
  <conditionalFormatting sqref="X145:Y145">
    <cfRule type="expression" priority="3021">
      <formula>WEEKDAY(#REF!,2)&gt;5</formula>
    </cfRule>
  </conditionalFormatting>
  <conditionalFormatting sqref="Z145:AA145">
    <cfRule type="expression" priority="1019">
      <formula>WEEKDAY(X$3,2)&gt;5</formula>
    </cfRule>
  </conditionalFormatting>
  <conditionalFormatting sqref="AB145:AF145">
    <cfRule type="expression" priority="837">
      <formula>WEEKDAY(#REF!,2)&gt;5</formula>
    </cfRule>
  </conditionalFormatting>
  <conditionalFormatting sqref="AG145">
    <cfRule type="expression" priority="473">
      <formula>WEEKDAY(AE$3,2)&gt;5</formula>
    </cfRule>
  </conditionalFormatting>
  <conditionalFormatting sqref="AH145">
    <cfRule type="expression" priority="655">
      <formula>WEEKDAY(AF$3,2)&gt;5</formula>
    </cfRule>
  </conditionalFormatting>
  <conditionalFormatting sqref="D146:E146">
    <cfRule type="expression" priority="2656">
      <formula>WEEKDAY(B$3,2)&gt;5</formula>
    </cfRule>
  </conditionalFormatting>
  <conditionalFormatting sqref="F146">
    <cfRule type="expression" priority="2474">
      <formula>WEEKDAY(D$3,2)&gt;5</formula>
    </cfRule>
  </conditionalFormatting>
  <conditionalFormatting sqref="G146">
    <cfRule type="expression" priority="2838">
      <formula>WEEKDAY(E$3,2)&gt;5</formula>
    </cfRule>
  </conditionalFormatting>
  <conditionalFormatting sqref="H146">
    <cfRule type="expression" priority="2292">
      <formula>WEEKDAY(F$3,2)&gt;5</formula>
    </cfRule>
  </conditionalFormatting>
  <conditionalFormatting sqref="I146">
    <cfRule type="expression" priority="2110">
      <formula>WEEKDAY(#REF!,2)&gt;5</formula>
    </cfRule>
  </conditionalFormatting>
  <conditionalFormatting sqref="J146">
    <cfRule type="expression" priority="1928">
      <formula>WEEKDAY(#REF!,2)&gt;5</formula>
    </cfRule>
  </conditionalFormatting>
  <conditionalFormatting sqref="K146">
    <cfRule type="expression" priority="3202">
      <formula>WEEKDAY(#REF!,2)&gt;5</formula>
    </cfRule>
  </conditionalFormatting>
  <conditionalFormatting sqref="M146">
    <cfRule type="expression" priority="1746">
      <formula>WEEKDAY(K$3,2)&gt;5</formula>
    </cfRule>
  </conditionalFormatting>
  <conditionalFormatting sqref="O146:R146">
    <cfRule type="expression" priority="1564">
      <formula>WEEKDAY(#REF!,2)&gt;5</formula>
    </cfRule>
  </conditionalFormatting>
  <conditionalFormatting sqref="S146:T146">
    <cfRule type="expression" priority="1382">
      <formula>WEEKDAY(Q$3,2)&gt;5</formula>
    </cfRule>
  </conditionalFormatting>
  <conditionalFormatting sqref="U146:Y146">
    <cfRule type="expression" priority="1200">
      <formula>WEEKDAY(#REF!,2)&gt;5</formula>
    </cfRule>
  </conditionalFormatting>
  <conditionalFormatting sqref="X146:Y146">
    <cfRule type="expression" priority="3020">
      <formula>WEEKDAY(#REF!,2)&gt;5</formula>
    </cfRule>
  </conditionalFormatting>
  <conditionalFormatting sqref="Z146:AA146">
    <cfRule type="expression" priority="1018">
      <formula>WEEKDAY(X$3,2)&gt;5</formula>
    </cfRule>
  </conditionalFormatting>
  <conditionalFormatting sqref="AE146">
    <cfRule type="expression" priority="321">
      <formula>WEEKDAY(#REF!,2)&gt;5</formula>
    </cfRule>
  </conditionalFormatting>
  <conditionalFormatting sqref="AG146">
    <cfRule type="expression" priority="472">
      <formula>WEEKDAY(AE$3,2)&gt;5</formula>
    </cfRule>
  </conditionalFormatting>
  <conditionalFormatting sqref="AH146">
    <cfRule type="expression" priority="654">
      <formula>WEEKDAY(AF$3,2)&gt;5</formula>
    </cfRule>
  </conditionalFormatting>
  <conditionalFormatting sqref="B147">
    <cfRule type="duplicateValues" dxfId="1" priority="15455"/>
  </conditionalFormatting>
  <conditionalFormatting sqref="D147:E147">
    <cfRule type="expression" priority="2655">
      <formula>WEEKDAY(B$3,2)&gt;5</formula>
    </cfRule>
  </conditionalFormatting>
  <conditionalFormatting sqref="F147">
    <cfRule type="expression" priority="2473">
      <formula>WEEKDAY(D$3,2)&gt;5</formula>
    </cfRule>
  </conditionalFormatting>
  <conditionalFormatting sqref="G147">
    <cfRule type="expression" priority="2837">
      <formula>WEEKDAY(E$3,2)&gt;5</formula>
    </cfRule>
  </conditionalFormatting>
  <conditionalFormatting sqref="H147">
    <cfRule type="expression" priority="2291">
      <formula>WEEKDAY(F$3,2)&gt;5</formula>
    </cfRule>
  </conditionalFormatting>
  <conditionalFormatting sqref="I147">
    <cfRule type="expression" priority="2109">
      <formula>WEEKDAY(#REF!,2)&gt;5</formula>
    </cfRule>
  </conditionalFormatting>
  <conditionalFormatting sqref="J147">
    <cfRule type="expression" priority="1927">
      <formula>WEEKDAY(#REF!,2)&gt;5</formula>
    </cfRule>
  </conditionalFormatting>
  <conditionalFormatting sqref="K147">
    <cfRule type="expression" priority="3201">
      <formula>WEEKDAY(#REF!,2)&gt;5</formula>
    </cfRule>
  </conditionalFormatting>
  <conditionalFormatting sqref="M147">
    <cfRule type="expression" priority="1745">
      <formula>WEEKDAY(K$3,2)&gt;5</formula>
    </cfRule>
  </conditionalFormatting>
  <conditionalFormatting sqref="O147:R147">
    <cfRule type="expression" priority="1563">
      <formula>WEEKDAY(#REF!,2)&gt;5</formula>
    </cfRule>
  </conditionalFormatting>
  <conditionalFormatting sqref="S147:T147">
    <cfRule type="expression" priority="1381">
      <formula>WEEKDAY(Q$3,2)&gt;5</formula>
    </cfRule>
  </conditionalFormatting>
  <conditionalFormatting sqref="U147:Y147">
    <cfRule type="expression" priority="1199">
      <formula>WEEKDAY(#REF!,2)&gt;5</formula>
    </cfRule>
  </conditionalFormatting>
  <conditionalFormatting sqref="X147:Y147">
    <cfRule type="expression" priority="3019">
      <formula>WEEKDAY(#REF!,2)&gt;5</formula>
    </cfRule>
  </conditionalFormatting>
  <conditionalFormatting sqref="Z147:AA147">
    <cfRule type="expression" priority="1017">
      <formula>WEEKDAY(X$3,2)&gt;5</formula>
    </cfRule>
  </conditionalFormatting>
  <conditionalFormatting sqref="AB147:AF147">
    <cfRule type="expression" priority="835">
      <formula>WEEKDAY(#REF!,2)&gt;5</formula>
    </cfRule>
  </conditionalFormatting>
  <conditionalFormatting sqref="AG147">
    <cfRule type="expression" priority="471">
      <formula>WEEKDAY(AE$3,2)&gt;5</formula>
    </cfRule>
  </conditionalFormatting>
  <conditionalFormatting sqref="AH147">
    <cfRule type="expression" priority="653">
      <formula>WEEKDAY(AF$3,2)&gt;5</formula>
    </cfRule>
  </conditionalFormatting>
  <conditionalFormatting sqref="D148:E148">
    <cfRule type="expression" priority="2654">
      <formula>WEEKDAY(B$3,2)&gt;5</formula>
    </cfRule>
  </conditionalFormatting>
  <conditionalFormatting sqref="F148">
    <cfRule type="expression" priority="2472">
      <formula>WEEKDAY(D$3,2)&gt;5</formula>
    </cfRule>
  </conditionalFormatting>
  <conditionalFormatting sqref="G148">
    <cfRule type="expression" priority="2836">
      <formula>WEEKDAY(E$3,2)&gt;5</formula>
    </cfRule>
  </conditionalFormatting>
  <conditionalFormatting sqref="H148">
    <cfRule type="expression" priority="2290">
      <formula>WEEKDAY(F$3,2)&gt;5</formula>
    </cfRule>
  </conditionalFormatting>
  <conditionalFormatting sqref="I148">
    <cfRule type="expression" priority="2108">
      <formula>WEEKDAY(#REF!,2)&gt;5</formula>
    </cfRule>
  </conditionalFormatting>
  <conditionalFormatting sqref="J148">
    <cfRule type="expression" priority="1926">
      <formula>WEEKDAY(#REF!,2)&gt;5</formula>
    </cfRule>
  </conditionalFormatting>
  <conditionalFormatting sqref="K148">
    <cfRule type="expression" priority="3200">
      <formula>WEEKDAY(#REF!,2)&gt;5</formula>
    </cfRule>
  </conditionalFormatting>
  <conditionalFormatting sqref="M148">
    <cfRule type="expression" priority="1744">
      <formula>WEEKDAY(K$3,2)&gt;5</formula>
    </cfRule>
  </conditionalFormatting>
  <conditionalFormatting sqref="O148:R148">
    <cfRule type="expression" priority="1562">
      <formula>WEEKDAY(#REF!,2)&gt;5</formula>
    </cfRule>
  </conditionalFormatting>
  <conditionalFormatting sqref="S148:T148">
    <cfRule type="expression" priority="1380">
      <formula>WEEKDAY(Q$3,2)&gt;5</formula>
    </cfRule>
  </conditionalFormatting>
  <conditionalFormatting sqref="U148:Y148">
    <cfRule type="expression" priority="1198">
      <formula>WEEKDAY(#REF!,2)&gt;5</formula>
    </cfRule>
  </conditionalFormatting>
  <conditionalFormatting sqref="X148:Y148">
    <cfRule type="expression" priority="3018">
      <formula>WEEKDAY(#REF!,2)&gt;5</formula>
    </cfRule>
  </conditionalFormatting>
  <conditionalFormatting sqref="Z148:AA148">
    <cfRule type="expression" priority="1016">
      <formula>WEEKDAY(X$3,2)&gt;5</formula>
    </cfRule>
  </conditionalFormatting>
  <conditionalFormatting sqref="AB148:AF148">
    <cfRule type="expression" priority="834">
      <formula>WEEKDAY(#REF!,2)&gt;5</formula>
    </cfRule>
  </conditionalFormatting>
  <conditionalFormatting sqref="AG148">
    <cfRule type="expression" priority="470">
      <formula>WEEKDAY(AE$3,2)&gt;5</formula>
    </cfRule>
  </conditionalFormatting>
  <conditionalFormatting sqref="AH148">
    <cfRule type="expression" priority="652">
      <formula>WEEKDAY(AF$3,2)&gt;5</formula>
    </cfRule>
  </conditionalFormatting>
  <conditionalFormatting sqref="D149:E149">
    <cfRule type="expression" priority="2653">
      <formula>WEEKDAY(B$3,2)&gt;5</formula>
    </cfRule>
  </conditionalFormatting>
  <conditionalFormatting sqref="F149">
    <cfRule type="expression" priority="2471">
      <formula>WEEKDAY(D$3,2)&gt;5</formula>
    </cfRule>
  </conditionalFormatting>
  <conditionalFormatting sqref="G149">
    <cfRule type="expression" priority="2835">
      <formula>WEEKDAY(E$3,2)&gt;5</formula>
    </cfRule>
  </conditionalFormatting>
  <conditionalFormatting sqref="H149">
    <cfRule type="expression" priority="2289">
      <formula>WEEKDAY(F$3,2)&gt;5</formula>
    </cfRule>
  </conditionalFormatting>
  <conditionalFormatting sqref="I149">
    <cfRule type="expression" priority="2107">
      <formula>WEEKDAY(#REF!,2)&gt;5</formula>
    </cfRule>
  </conditionalFormatting>
  <conditionalFormatting sqref="J149">
    <cfRule type="expression" priority="1925">
      <formula>WEEKDAY(#REF!,2)&gt;5</formula>
    </cfRule>
  </conditionalFormatting>
  <conditionalFormatting sqref="K149">
    <cfRule type="expression" priority="3199">
      <formula>WEEKDAY(#REF!,2)&gt;5</formula>
    </cfRule>
  </conditionalFormatting>
  <conditionalFormatting sqref="M149">
    <cfRule type="expression" priority="1743">
      <formula>WEEKDAY(K$3,2)&gt;5</formula>
    </cfRule>
  </conditionalFormatting>
  <conditionalFormatting sqref="O149:R149">
    <cfRule type="expression" priority="1561">
      <formula>WEEKDAY(#REF!,2)&gt;5</formula>
    </cfRule>
  </conditionalFormatting>
  <conditionalFormatting sqref="S149:T149">
    <cfRule type="expression" priority="1379">
      <formula>WEEKDAY(Q$3,2)&gt;5</formula>
    </cfRule>
  </conditionalFormatting>
  <conditionalFormatting sqref="U149:Y149">
    <cfRule type="expression" priority="1197">
      <formula>WEEKDAY(#REF!,2)&gt;5</formula>
    </cfRule>
  </conditionalFormatting>
  <conditionalFormatting sqref="X149:Y149">
    <cfRule type="expression" priority="3017">
      <formula>WEEKDAY(#REF!,2)&gt;5</formula>
    </cfRule>
  </conditionalFormatting>
  <conditionalFormatting sqref="Z149:AA149">
    <cfRule type="expression" priority="1015">
      <formula>WEEKDAY(X$3,2)&gt;5</formula>
    </cfRule>
  </conditionalFormatting>
  <conditionalFormatting sqref="AB149:AF149">
    <cfRule type="expression" priority="833">
      <formula>WEEKDAY(#REF!,2)&gt;5</formula>
    </cfRule>
  </conditionalFormatting>
  <conditionalFormatting sqref="AG149">
    <cfRule type="expression" priority="469">
      <formula>WEEKDAY(AE$3,2)&gt;5</formula>
    </cfRule>
  </conditionalFormatting>
  <conditionalFormatting sqref="AH149">
    <cfRule type="expression" priority="651">
      <formula>WEEKDAY(AF$3,2)&gt;5</formula>
    </cfRule>
  </conditionalFormatting>
  <conditionalFormatting sqref="AN149">
    <cfRule type="expression" priority="8300">
      <formula>WEEKDAY(#REF!,2)&gt;5</formula>
    </cfRule>
  </conditionalFormatting>
  <conditionalFormatting sqref="D150:E150">
    <cfRule type="expression" priority="2652">
      <formula>WEEKDAY(B$3,2)&gt;5</formula>
    </cfRule>
  </conditionalFormatting>
  <conditionalFormatting sqref="F150">
    <cfRule type="expression" priority="2470">
      <formula>WEEKDAY(D$3,2)&gt;5</formula>
    </cfRule>
  </conditionalFormatting>
  <conditionalFormatting sqref="G150">
    <cfRule type="expression" priority="2834">
      <formula>WEEKDAY(E$3,2)&gt;5</formula>
    </cfRule>
  </conditionalFormatting>
  <conditionalFormatting sqref="H150">
    <cfRule type="expression" priority="2288">
      <formula>WEEKDAY(F$3,2)&gt;5</formula>
    </cfRule>
  </conditionalFormatting>
  <conditionalFormatting sqref="I150">
    <cfRule type="expression" priority="2106">
      <formula>WEEKDAY(#REF!,2)&gt;5</formula>
    </cfRule>
  </conditionalFormatting>
  <conditionalFormatting sqref="J150">
    <cfRule type="expression" priority="1924">
      <formula>WEEKDAY(#REF!,2)&gt;5</formula>
    </cfRule>
  </conditionalFormatting>
  <conditionalFormatting sqref="K150">
    <cfRule type="expression" priority="3198">
      <formula>WEEKDAY(#REF!,2)&gt;5</formula>
    </cfRule>
  </conditionalFormatting>
  <conditionalFormatting sqref="M150">
    <cfRule type="expression" priority="1742">
      <formula>WEEKDAY(K$3,2)&gt;5</formula>
    </cfRule>
  </conditionalFormatting>
  <conditionalFormatting sqref="O150:R150">
    <cfRule type="expression" priority="1560">
      <formula>WEEKDAY(#REF!,2)&gt;5</formula>
    </cfRule>
  </conditionalFormatting>
  <conditionalFormatting sqref="S150:T150">
    <cfRule type="expression" priority="1378">
      <formula>WEEKDAY(Q$3,2)&gt;5</formula>
    </cfRule>
  </conditionalFormatting>
  <conditionalFormatting sqref="U150:Y150">
    <cfRule type="expression" priority="1196">
      <formula>WEEKDAY(#REF!,2)&gt;5</formula>
    </cfRule>
  </conditionalFormatting>
  <conditionalFormatting sqref="X150:Y150">
    <cfRule type="expression" priority="3016">
      <formula>WEEKDAY(#REF!,2)&gt;5</formula>
    </cfRule>
  </conditionalFormatting>
  <conditionalFormatting sqref="Z150:AA150">
    <cfRule type="expression" priority="1014">
      <formula>WEEKDAY(X$3,2)&gt;5</formula>
    </cfRule>
  </conditionalFormatting>
  <conditionalFormatting sqref="AB150:AF150">
    <cfRule type="expression" priority="832">
      <formula>WEEKDAY(#REF!,2)&gt;5</formula>
    </cfRule>
  </conditionalFormatting>
  <conditionalFormatting sqref="AG150">
    <cfRule type="expression" priority="468">
      <formula>WEEKDAY(AE$3,2)&gt;5</formula>
    </cfRule>
  </conditionalFormatting>
  <conditionalFormatting sqref="AH150">
    <cfRule type="expression" priority="650">
      <formula>WEEKDAY(AF$3,2)&gt;5</formula>
    </cfRule>
  </conditionalFormatting>
  <conditionalFormatting sqref="D151:E151">
    <cfRule type="expression" priority="2651">
      <formula>WEEKDAY(B$3,2)&gt;5</formula>
    </cfRule>
  </conditionalFormatting>
  <conditionalFormatting sqref="F151">
    <cfRule type="expression" priority="2469">
      <formula>WEEKDAY(D$3,2)&gt;5</formula>
    </cfRule>
  </conditionalFormatting>
  <conditionalFormatting sqref="G151">
    <cfRule type="expression" priority="2833">
      <formula>WEEKDAY(E$3,2)&gt;5</formula>
    </cfRule>
  </conditionalFormatting>
  <conditionalFormatting sqref="H151">
    <cfRule type="expression" priority="2287">
      <formula>WEEKDAY(F$3,2)&gt;5</formula>
    </cfRule>
  </conditionalFormatting>
  <conditionalFormatting sqref="I151">
    <cfRule type="expression" priority="2105">
      <formula>WEEKDAY(#REF!,2)&gt;5</formula>
    </cfRule>
  </conditionalFormatting>
  <conditionalFormatting sqref="J151">
    <cfRule type="expression" priority="1923">
      <formula>WEEKDAY(#REF!,2)&gt;5</formula>
    </cfRule>
  </conditionalFormatting>
  <conditionalFormatting sqref="K151">
    <cfRule type="expression" priority="3197">
      <formula>WEEKDAY(#REF!,2)&gt;5</formula>
    </cfRule>
  </conditionalFormatting>
  <conditionalFormatting sqref="M151">
    <cfRule type="expression" priority="1741">
      <formula>WEEKDAY(K$3,2)&gt;5</formula>
    </cfRule>
  </conditionalFormatting>
  <conditionalFormatting sqref="O151:R151">
    <cfRule type="expression" priority="1559">
      <formula>WEEKDAY(#REF!,2)&gt;5</formula>
    </cfRule>
  </conditionalFormatting>
  <conditionalFormatting sqref="S151:T151">
    <cfRule type="expression" priority="1377">
      <formula>WEEKDAY(Q$3,2)&gt;5</formula>
    </cfRule>
  </conditionalFormatting>
  <conditionalFormatting sqref="W151">
    <cfRule type="expression" priority="283">
      <formula>WEEKDAY(#REF!,2)&gt;5</formula>
    </cfRule>
  </conditionalFormatting>
  <conditionalFormatting sqref="X151:Y151">
    <cfRule type="expression" priority="3015">
      <formula>WEEKDAY(#REF!,2)&gt;5</formula>
    </cfRule>
  </conditionalFormatting>
  <conditionalFormatting sqref="Z151:AA151">
    <cfRule type="expression" priority="1013">
      <formula>WEEKDAY(X$3,2)&gt;5</formula>
    </cfRule>
  </conditionalFormatting>
  <conditionalFormatting sqref="AB151:AF151">
    <cfRule type="expression" priority="831">
      <formula>WEEKDAY(#REF!,2)&gt;5</formula>
    </cfRule>
  </conditionalFormatting>
  <conditionalFormatting sqref="AG151">
    <cfRule type="expression" priority="467">
      <formula>WEEKDAY(AE$3,2)&gt;5</formula>
    </cfRule>
  </conditionalFormatting>
  <conditionalFormatting sqref="AH151">
    <cfRule type="expression" priority="649">
      <formula>WEEKDAY(AF$3,2)&gt;5</formula>
    </cfRule>
  </conditionalFormatting>
  <conditionalFormatting sqref="D152:E152">
    <cfRule type="expression" priority="2650">
      <formula>WEEKDAY(B$3,2)&gt;5</formula>
    </cfRule>
  </conditionalFormatting>
  <conditionalFormatting sqref="F152">
    <cfRule type="expression" priority="2468">
      <formula>WEEKDAY(D$3,2)&gt;5</formula>
    </cfRule>
  </conditionalFormatting>
  <conditionalFormatting sqref="G152">
    <cfRule type="expression" priority="2832">
      <formula>WEEKDAY(E$3,2)&gt;5</formula>
    </cfRule>
  </conditionalFormatting>
  <conditionalFormatting sqref="H152">
    <cfRule type="expression" priority="2286">
      <formula>WEEKDAY(F$3,2)&gt;5</formula>
    </cfRule>
  </conditionalFormatting>
  <conditionalFormatting sqref="I152">
    <cfRule type="expression" priority="2104">
      <formula>WEEKDAY(#REF!,2)&gt;5</formula>
    </cfRule>
  </conditionalFormatting>
  <conditionalFormatting sqref="J152">
    <cfRule type="expression" priority="1922">
      <formula>WEEKDAY(#REF!,2)&gt;5</formula>
    </cfRule>
  </conditionalFormatting>
  <conditionalFormatting sqref="K152">
    <cfRule type="expression" priority="338">
      <formula>WEEKDAY(#REF!,2)&gt;5</formula>
    </cfRule>
  </conditionalFormatting>
  <conditionalFormatting sqref="M152">
    <cfRule type="expression" priority="1740">
      <formula>WEEKDAY(K$3,2)&gt;5</formula>
    </cfRule>
  </conditionalFormatting>
  <conditionalFormatting sqref="O152:Q152">
    <cfRule type="expression" priority="1558">
      <formula>WEEKDAY(#REF!,2)&gt;5</formula>
    </cfRule>
  </conditionalFormatting>
  <conditionalFormatting sqref="R152">
    <cfRule type="expression" priority="337">
      <formula>WEEKDAY(#REF!,2)&gt;5</formula>
    </cfRule>
  </conditionalFormatting>
  <conditionalFormatting sqref="S152:T152">
    <cfRule type="expression" priority="1376">
      <formula>WEEKDAY(Q$3,2)&gt;5</formula>
    </cfRule>
  </conditionalFormatting>
  <conditionalFormatting sqref="U152:Y152">
    <cfRule type="expression" priority="336">
      <formula>WEEKDAY(#REF!,2)&gt;5</formula>
    </cfRule>
  </conditionalFormatting>
  <conditionalFormatting sqref="Z152:AA152">
    <cfRule type="expression" priority="1012">
      <formula>WEEKDAY(X$3,2)&gt;5</formula>
    </cfRule>
  </conditionalFormatting>
  <conditionalFormatting sqref="AB152:AF152">
    <cfRule type="expression" priority="335">
      <formula>WEEKDAY(#REF!,2)&gt;5</formula>
    </cfRule>
  </conditionalFormatting>
  <conditionalFormatting sqref="AG152">
    <cfRule type="expression" priority="466">
      <formula>WEEKDAY(AE$3,2)&gt;5</formula>
    </cfRule>
  </conditionalFormatting>
  <conditionalFormatting sqref="AH152">
    <cfRule type="expression" priority="648">
      <formula>WEEKDAY(AF$3,2)&gt;5</formula>
    </cfRule>
  </conditionalFormatting>
  <conditionalFormatting sqref="D153:E153">
    <cfRule type="expression" priority="2649">
      <formula>WEEKDAY(B$3,2)&gt;5</formula>
    </cfRule>
  </conditionalFormatting>
  <conditionalFormatting sqref="F153">
    <cfRule type="expression" priority="2467">
      <formula>WEEKDAY(D$3,2)&gt;5</formula>
    </cfRule>
  </conditionalFormatting>
  <conditionalFormatting sqref="G153">
    <cfRule type="expression" priority="2831">
      <formula>WEEKDAY(E$3,2)&gt;5</formula>
    </cfRule>
  </conditionalFormatting>
  <conditionalFormatting sqref="H153">
    <cfRule type="expression" priority="2285">
      <formula>WEEKDAY(F$3,2)&gt;5</formula>
    </cfRule>
  </conditionalFormatting>
  <conditionalFormatting sqref="I153">
    <cfRule type="expression" priority="2103">
      <formula>WEEKDAY(#REF!,2)&gt;5</formula>
    </cfRule>
  </conditionalFormatting>
  <conditionalFormatting sqref="J153">
    <cfRule type="expression" priority="1921">
      <formula>WEEKDAY(#REF!,2)&gt;5</formula>
    </cfRule>
  </conditionalFormatting>
  <conditionalFormatting sqref="K153">
    <cfRule type="expression" priority="3195">
      <formula>WEEKDAY(#REF!,2)&gt;5</formula>
    </cfRule>
  </conditionalFormatting>
  <conditionalFormatting sqref="M153">
    <cfRule type="expression" priority="1739">
      <formula>WEEKDAY(K$3,2)&gt;5</formula>
    </cfRule>
  </conditionalFormatting>
  <conditionalFormatting sqref="O153:R153">
    <cfRule type="expression" priority="1557">
      <formula>WEEKDAY(#REF!,2)&gt;5</formula>
    </cfRule>
  </conditionalFormatting>
  <conditionalFormatting sqref="S153:T153">
    <cfRule type="expression" priority="1375">
      <formula>WEEKDAY(Q$3,2)&gt;5</formula>
    </cfRule>
  </conditionalFormatting>
  <conditionalFormatting sqref="U153:Y153">
    <cfRule type="expression" priority="1193">
      <formula>WEEKDAY(#REF!,2)&gt;5</formula>
    </cfRule>
  </conditionalFormatting>
  <conditionalFormatting sqref="X153:Y153">
    <cfRule type="expression" priority="3013">
      <formula>WEEKDAY(#REF!,2)&gt;5</formula>
    </cfRule>
  </conditionalFormatting>
  <conditionalFormatting sqref="Z153:AA153">
    <cfRule type="expression" priority="1011">
      <formula>WEEKDAY(X$3,2)&gt;5</formula>
    </cfRule>
  </conditionalFormatting>
  <conditionalFormatting sqref="AB153:AF153">
    <cfRule type="expression" priority="829">
      <formula>WEEKDAY(#REF!,2)&gt;5</formula>
    </cfRule>
  </conditionalFormatting>
  <conditionalFormatting sqref="AG153">
    <cfRule type="expression" priority="465">
      <formula>WEEKDAY(AE$3,2)&gt;5</formula>
    </cfRule>
  </conditionalFormatting>
  <conditionalFormatting sqref="AH153">
    <cfRule type="expression" priority="647">
      <formula>WEEKDAY(AF$3,2)&gt;5</formula>
    </cfRule>
  </conditionalFormatting>
  <conditionalFormatting sqref="D154:E154">
    <cfRule type="expression" priority="2648">
      <formula>WEEKDAY(B$3,2)&gt;5</formula>
    </cfRule>
  </conditionalFormatting>
  <conditionalFormatting sqref="F154">
    <cfRule type="expression" priority="2466">
      <formula>WEEKDAY(D$3,2)&gt;5</formula>
    </cfRule>
  </conditionalFormatting>
  <conditionalFormatting sqref="G154">
    <cfRule type="expression" priority="2830">
      <formula>WEEKDAY(E$3,2)&gt;5</formula>
    </cfRule>
  </conditionalFormatting>
  <conditionalFormatting sqref="H154">
    <cfRule type="expression" priority="2284">
      <formula>WEEKDAY(F$3,2)&gt;5</formula>
    </cfRule>
  </conditionalFormatting>
  <conditionalFormatting sqref="I154">
    <cfRule type="expression" priority="2102">
      <formula>WEEKDAY(#REF!,2)&gt;5</formula>
    </cfRule>
  </conditionalFormatting>
  <conditionalFormatting sqref="J154">
    <cfRule type="expression" priority="1920">
      <formula>WEEKDAY(#REF!,2)&gt;5</formula>
    </cfRule>
  </conditionalFormatting>
  <conditionalFormatting sqref="K154">
    <cfRule type="expression" priority="3194">
      <formula>WEEKDAY(#REF!,2)&gt;5</formula>
    </cfRule>
  </conditionalFormatting>
  <conditionalFormatting sqref="M154">
    <cfRule type="expression" priority="1738">
      <formula>WEEKDAY(K$3,2)&gt;5</formula>
    </cfRule>
  </conditionalFormatting>
  <conditionalFormatting sqref="O154:R154">
    <cfRule type="expression" priority="1556">
      <formula>WEEKDAY(#REF!,2)&gt;5</formula>
    </cfRule>
  </conditionalFormatting>
  <conditionalFormatting sqref="S154:T154">
    <cfRule type="expression" priority="1374">
      <formula>WEEKDAY(Q$3,2)&gt;5</formula>
    </cfRule>
  </conditionalFormatting>
  <conditionalFormatting sqref="U154:Y154">
    <cfRule type="expression" priority="1192">
      <formula>WEEKDAY(#REF!,2)&gt;5</formula>
    </cfRule>
  </conditionalFormatting>
  <conditionalFormatting sqref="X154:Y154">
    <cfRule type="expression" priority="3012">
      <formula>WEEKDAY(#REF!,2)&gt;5</formula>
    </cfRule>
  </conditionalFormatting>
  <conditionalFormatting sqref="Z154:AA154">
    <cfRule type="expression" priority="1010">
      <formula>WEEKDAY(X$3,2)&gt;5</formula>
    </cfRule>
  </conditionalFormatting>
  <conditionalFormatting sqref="AB154:AF154">
    <cfRule type="expression" priority="828">
      <formula>WEEKDAY(#REF!,2)&gt;5</formula>
    </cfRule>
  </conditionalFormatting>
  <conditionalFormatting sqref="AG154">
    <cfRule type="expression" priority="464">
      <formula>WEEKDAY(AE$3,2)&gt;5</formula>
    </cfRule>
  </conditionalFormatting>
  <conditionalFormatting sqref="AH154">
    <cfRule type="expression" priority="646">
      <formula>WEEKDAY(AF$3,2)&gt;5</formula>
    </cfRule>
  </conditionalFormatting>
  <conditionalFormatting sqref="B155">
    <cfRule type="duplicateValues" dxfId="1" priority="15457"/>
  </conditionalFormatting>
  <conditionalFormatting sqref="D155:E155">
    <cfRule type="expression" priority="318">
      <formula>WEEKDAY(B$3,2)&gt;5</formula>
    </cfRule>
  </conditionalFormatting>
  <conditionalFormatting sqref="F155">
    <cfRule type="expression" priority="317">
      <formula>WEEKDAY(D$3,2)&gt;5</formula>
    </cfRule>
  </conditionalFormatting>
  <conditionalFormatting sqref="G155">
    <cfRule type="expression" priority="319">
      <formula>WEEKDAY(E$3,2)&gt;5</formula>
    </cfRule>
  </conditionalFormatting>
  <conditionalFormatting sqref="H155">
    <cfRule type="expression" priority="316">
      <formula>WEEKDAY(F$3,2)&gt;5</formula>
    </cfRule>
  </conditionalFormatting>
  <conditionalFormatting sqref="I155:J155">
    <cfRule type="expression" priority="315">
      <formula>WEEKDAY(#REF!,2)&gt;5</formula>
    </cfRule>
  </conditionalFormatting>
  <conditionalFormatting sqref="K155">
    <cfRule type="expression" priority="305">
      <formula>WEEKDAY(#REF!,2)&gt;5</formula>
    </cfRule>
  </conditionalFormatting>
  <conditionalFormatting sqref="L155">
    <cfRule type="expression" priority="302">
      <formula>WEEKDAY(#REF!,2)&gt;5</formula>
    </cfRule>
  </conditionalFormatting>
  <conditionalFormatting sqref="M155">
    <cfRule type="expression" priority="313">
      <formula>WEEKDAY(K$3,2)&gt;5</formula>
    </cfRule>
  </conditionalFormatting>
  <conditionalFormatting sqref="N155">
    <cfRule type="expression" priority="304">
      <formula>WEEKDAY(#REF!,2)&gt;5</formula>
    </cfRule>
  </conditionalFormatting>
  <conditionalFormatting sqref="O155:R155">
    <cfRule type="expression" priority="312">
      <formula>WEEKDAY(#REF!,2)&gt;5</formula>
    </cfRule>
  </conditionalFormatting>
  <conditionalFormatting sqref="S155:T155">
    <cfRule type="expression" priority="311">
      <formula>WEEKDAY(Q$3,2)&gt;5</formula>
    </cfRule>
  </conditionalFormatting>
  <conditionalFormatting sqref="U155:W155">
    <cfRule type="expression" priority="310">
      <formula>WEEKDAY(#REF!,2)&gt;5</formula>
    </cfRule>
  </conditionalFormatting>
  <conditionalFormatting sqref="X155">
    <cfRule type="expression" priority="309">
      <formula>WEEKDAY(#REF!,2)&gt;5</formula>
    </cfRule>
  </conditionalFormatting>
  <conditionalFormatting sqref="Y155">
    <cfRule type="expression" priority="303">
      <formula>WEEKDAY(#REF!,2)&gt;5</formula>
    </cfRule>
  </conditionalFormatting>
  <conditionalFormatting sqref="Z155:AA155">
    <cfRule type="expression" priority="308">
      <formula>WEEKDAY(X$3,2)&gt;5</formula>
    </cfRule>
  </conditionalFormatting>
  <conditionalFormatting sqref="AB155">
    <cfRule type="expression" priority="307">
      <formula>WEEKDAY(#REF!,2)&gt;5</formula>
    </cfRule>
  </conditionalFormatting>
  <conditionalFormatting sqref="AC155">
    <cfRule type="expression" priority="306">
      <formula>WEEKDAY(#REF!,2)&gt;5</formula>
    </cfRule>
  </conditionalFormatting>
  <conditionalFormatting sqref="AD155:AF155">
    <cfRule type="expression" priority="301">
      <formula>WEEKDAY(#REF!,2)&gt;5</formula>
    </cfRule>
  </conditionalFormatting>
  <conditionalFormatting sqref="AG155:AH155">
    <cfRule type="expression" priority="314">
      <formula>WEEKDAY(#REF!,2)&gt;5</formula>
    </cfRule>
  </conditionalFormatting>
  <conditionalFormatting sqref="B156">
    <cfRule type="duplicateValues" dxfId="1" priority="15522"/>
  </conditionalFormatting>
  <conditionalFormatting sqref="D156:E156">
    <cfRule type="expression" priority="2646">
      <formula>WEEKDAY(B$3,2)&gt;5</formula>
    </cfRule>
  </conditionalFormatting>
  <conditionalFormatting sqref="F156">
    <cfRule type="expression" priority="2464">
      <formula>WEEKDAY(D$3,2)&gt;5</formula>
    </cfRule>
  </conditionalFormatting>
  <conditionalFormatting sqref="G156">
    <cfRule type="expression" priority="2828">
      <formula>WEEKDAY(E$3,2)&gt;5</formula>
    </cfRule>
  </conditionalFormatting>
  <conditionalFormatting sqref="H156">
    <cfRule type="expression" priority="2282">
      <formula>WEEKDAY(F$3,2)&gt;5</formula>
    </cfRule>
  </conditionalFormatting>
  <conditionalFormatting sqref="I156">
    <cfRule type="expression" priority="2100">
      <formula>WEEKDAY(#REF!,2)&gt;5</formula>
    </cfRule>
  </conditionalFormatting>
  <conditionalFormatting sqref="J156">
    <cfRule type="expression" priority="1918">
      <formula>WEEKDAY(#REF!,2)&gt;5</formula>
    </cfRule>
  </conditionalFormatting>
  <conditionalFormatting sqref="K156">
    <cfRule type="expression" priority="3192">
      <formula>WEEKDAY(#REF!,2)&gt;5</formula>
    </cfRule>
  </conditionalFormatting>
  <conditionalFormatting sqref="M156">
    <cfRule type="expression" priority="1736">
      <formula>WEEKDAY(K$3,2)&gt;5</formula>
    </cfRule>
  </conditionalFormatting>
  <conditionalFormatting sqref="O156:R156">
    <cfRule type="expression" priority="1554">
      <formula>WEEKDAY(#REF!,2)&gt;5</formula>
    </cfRule>
  </conditionalFormatting>
  <conditionalFormatting sqref="S156:T156">
    <cfRule type="expression" priority="1372">
      <formula>WEEKDAY(Q$3,2)&gt;5</formula>
    </cfRule>
  </conditionalFormatting>
  <conditionalFormatting sqref="U156:Y156">
    <cfRule type="expression" priority="1190">
      <formula>WEEKDAY(#REF!,2)&gt;5</formula>
    </cfRule>
  </conditionalFormatting>
  <conditionalFormatting sqref="X156:Y156">
    <cfRule type="expression" priority="3010">
      <formula>WEEKDAY(#REF!,2)&gt;5</formula>
    </cfRule>
  </conditionalFormatting>
  <conditionalFormatting sqref="Z156:AA156">
    <cfRule type="expression" priority="1008">
      <formula>WEEKDAY(X$3,2)&gt;5</formula>
    </cfRule>
  </conditionalFormatting>
  <conditionalFormatting sqref="AB156:AF156">
    <cfRule type="expression" priority="826">
      <formula>WEEKDAY(#REF!,2)&gt;5</formula>
    </cfRule>
  </conditionalFormatting>
  <conditionalFormatting sqref="AG156">
    <cfRule type="expression" priority="462">
      <formula>WEEKDAY(AE$3,2)&gt;5</formula>
    </cfRule>
  </conditionalFormatting>
  <conditionalFormatting sqref="AH156">
    <cfRule type="expression" priority="644">
      <formula>WEEKDAY(AF$3,2)&gt;5</formula>
    </cfRule>
  </conditionalFormatting>
  <conditionalFormatting sqref="B157">
    <cfRule type="duplicateValues" dxfId="1" priority="15546"/>
  </conditionalFormatting>
  <conditionalFormatting sqref="D157:E157">
    <cfRule type="expression" priority="2645">
      <formula>WEEKDAY(B$3,2)&gt;5</formula>
    </cfRule>
  </conditionalFormatting>
  <conditionalFormatting sqref="F157">
    <cfRule type="expression" priority="2463">
      <formula>WEEKDAY(D$3,2)&gt;5</formula>
    </cfRule>
  </conditionalFormatting>
  <conditionalFormatting sqref="G157">
    <cfRule type="expression" priority="2827">
      <formula>WEEKDAY(E$3,2)&gt;5</formula>
    </cfRule>
  </conditionalFormatting>
  <conditionalFormatting sqref="H157">
    <cfRule type="expression" priority="2281">
      <formula>WEEKDAY(F$3,2)&gt;5</formula>
    </cfRule>
  </conditionalFormatting>
  <conditionalFormatting sqref="I157">
    <cfRule type="expression" priority="2099">
      <formula>WEEKDAY(#REF!,2)&gt;5</formula>
    </cfRule>
  </conditionalFormatting>
  <conditionalFormatting sqref="J157">
    <cfRule type="expression" priority="1917">
      <formula>WEEKDAY(#REF!,2)&gt;5</formula>
    </cfRule>
  </conditionalFormatting>
  <conditionalFormatting sqref="K157">
    <cfRule type="expression" priority="3191">
      <formula>WEEKDAY(#REF!,2)&gt;5</formula>
    </cfRule>
  </conditionalFormatting>
  <conditionalFormatting sqref="M157">
    <cfRule type="expression" priority="1735">
      <formula>WEEKDAY(K$3,2)&gt;5</formula>
    </cfRule>
  </conditionalFormatting>
  <conditionalFormatting sqref="O157:R157">
    <cfRule type="expression" priority="1553">
      <formula>WEEKDAY(#REF!,2)&gt;5</formula>
    </cfRule>
  </conditionalFormatting>
  <conditionalFormatting sqref="S157:T157">
    <cfRule type="expression" priority="1371">
      <formula>WEEKDAY(Q$3,2)&gt;5</formula>
    </cfRule>
  </conditionalFormatting>
  <conditionalFormatting sqref="U157:Y157">
    <cfRule type="expression" priority="1189">
      <formula>WEEKDAY(#REF!,2)&gt;5</formula>
    </cfRule>
  </conditionalFormatting>
  <conditionalFormatting sqref="X157:Y157">
    <cfRule type="expression" priority="3009">
      <formula>WEEKDAY(#REF!,2)&gt;5</formula>
    </cfRule>
  </conditionalFormatting>
  <conditionalFormatting sqref="Z157:AA157">
    <cfRule type="expression" priority="1007">
      <formula>WEEKDAY(X$3,2)&gt;5</formula>
    </cfRule>
  </conditionalFormatting>
  <conditionalFormatting sqref="AB157:AF157">
    <cfRule type="expression" priority="825">
      <formula>WEEKDAY(#REF!,2)&gt;5</formula>
    </cfRule>
  </conditionalFormatting>
  <conditionalFormatting sqref="AG157">
    <cfRule type="expression" priority="461">
      <formula>WEEKDAY(AE$3,2)&gt;5</formula>
    </cfRule>
  </conditionalFormatting>
  <conditionalFormatting sqref="AH157">
    <cfRule type="expression" priority="643">
      <formula>WEEKDAY(AF$3,2)&gt;5</formula>
    </cfRule>
  </conditionalFormatting>
  <conditionalFormatting sqref="U158:W158">
    <cfRule type="expression" priority="1188">
      <formula>WEEKDAY(#REF!,2)&gt;5</formula>
    </cfRule>
  </conditionalFormatting>
  <conditionalFormatting sqref="X158:AH158">
    <cfRule type="expression" priority="299">
      <formula>WEEKDAY(#REF!,2)&gt;5</formula>
    </cfRule>
  </conditionalFormatting>
  <conditionalFormatting sqref="U159:Y159">
    <cfRule type="expression" priority="297">
      <formula>WEEKDAY(#REF!,2)&gt;5</formula>
    </cfRule>
  </conditionalFormatting>
  <conditionalFormatting sqref="X159:Y159">
    <cfRule type="expression" priority="298">
      <formula>WEEKDAY(#REF!,2)&gt;5</formula>
    </cfRule>
  </conditionalFormatting>
  <conditionalFormatting sqref="Z159:AA159">
    <cfRule type="expression" priority="296">
      <formula>WEEKDAY(X$3,2)&gt;5</formula>
    </cfRule>
  </conditionalFormatting>
  <conditionalFormatting sqref="AB159:AF159">
    <cfRule type="expression" priority="295">
      <formula>WEEKDAY(#REF!,2)&gt;5</formula>
    </cfRule>
  </conditionalFormatting>
  <conditionalFormatting sqref="AG159">
    <cfRule type="expression" priority="293">
      <formula>WEEKDAY(AE$3,2)&gt;5</formula>
    </cfRule>
  </conditionalFormatting>
  <conditionalFormatting sqref="AH159">
    <cfRule type="expression" priority="294">
      <formula>WEEKDAY(AF$3,2)&gt;5</formula>
    </cfRule>
  </conditionalFormatting>
  <conditionalFormatting sqref="T160">
    <cfRule type="expression" priority="292">
      <formula>WEEKDAY(#REF!,2)&gt;5</formula>
    </cfRule>
  </conditionalFormatting>
  <conditionalFormatting sqref="U160">
    <cfRule type="expression" priority="291">
      <formula>WEEKDAY(#REF!,2)&gt;5</formula>
    </cfRule>
  </conditionalFormatting>
  <conditionalFormatting sqref="V160:W160">
    <cfRule type="expression" priority="290">
      <formula>WEEKDAY(#REF!,2)&gt;5</formula>
    </cfRule>
  </conditionalFormatting>
  <conditionalFormatting sqref="X160:Y160">
    <cfRule type="expression" priority="288">
      <formula>WEEKDAY(#REF!,2)&gt;5</formula>
    </cfRule>
  </conditionalFormatting>
  <conditionalFormatting sqref="Z160:AA160">
    <cfRule type="expression" priority="287">
      <formula>WEEKDAY(X$3,2)&gt;5</formula>
    </cfRule>
  </conditionalFormatting>
  <conditionalFormatting sqref="AB160:AF160">
    <cfRule type="expression" priority="286">
      <formula>WEEKDAY(#REF!,2)&gt;5</formula>
    </cfRule>
  </conditionalFormatting>
  <conditionalFormatting sqref="AG160">
    <cfRule type="expression" priority="284">
      <formula>WEEKDAY(AE$3,2)&gt;5</formula>
    </cfRule>
  </conditionalFormatting>
  <conditionalFormatting sqref="AH160">
    <cfRule type="expression" priority="285">
      <formula>WEEKDAY(AF$3,2)&gt;5</formula>
    </cfRule>
  </conditionalFormatting>
  <conditionalFormatting sqref="B161">
    <cfRule type="duplicateValues" dxfId="1" priority="15547"/>
  </conditionalFormatting>
  <conditionalFormatting sqref="D161:E161">
    <cfRule type="expression" priority="2642">
      <formula>WEEKDAY(B$3,2)&gt;5</formula>
    </cfRule>
  </conditionalFormatting>
  <conditionalFormatting sqref="F161">
    <cfRule type="expression" priority="2460">
      <formula>WEEKDAY(D$3,2)&gt;5</formula>
    </cfRule>
  </conditionalFormatting>
  <conditionalFormatting sqref="G161">
    <cfRule type="expression" priority="2824">
      <formula>WEEKDAY(E$3,2)&gt;5</formula>
    </cfRule>
  </conditionalFormatting>
  <conditionalFormatting sqref="H161">
    <cfRule type="expression" priority="2278">
      <formula>WEEKDAY(F$3,2)&gt;5</formula>
    </cfRule>
  </conditionalFormatting>
  <conditionalFormatting sqref="I161:L161">
    <cfRule type="expression" priority="3">
      <formula>WEEKDAY(#REF!,2)&gt;5</formula>
    </cfRule>
  </conditionalFormatting>
  <conditionalFormatting sqref="M161">
    <cfRule type="expression" priority="1732">
      <formula>WEEKDAY(K$3,2)&gt;5</formula>
    </cfRule>
  </conditionalFormatting>
  <conditionalFormatting sqref="N161:R161">
    <cfRule type="expression" priority="2">
      <formula>WEEKDAY(#REF!,2)&gt;5</formula>
    </cfRule>
  </conditionalFormatting>
  <conditionalFormatting sqref="S161:T161">
    <cfRule type="expression" priority="1368">
      <formula>WEEKDAY(Q$3,2)&gt;5</formula>
    </cfRule>
  </conditionalFormatting>
  <conditionalFormatting sqref="U161:Y161">
    <cfRule type="expression" priority="1">
      <formula>WEEKDAY(#REF!,2)&gt;5</formula>
    </cfRule>
  </conditionalFormatting>
  <conditionalFormatting sqref="Z161:AA161">
    <cfRule type="expression" priority="1004">
      <formula>WEEKDAY(X$3,2)&gt;5</formula>
    </cfRule>
  </conditionalFormatting>
  <conditionalFormatting sqref="AB161:AF161">
    <cfRule type="expression" priority="822">
      <formula>WEEKDAY(#REF!,2)&gt;5</formula>
    </cfRule>
  </conditionalFormatting>
  <conditionalFormatting sqref="AG161">
    <cfRule type="expression" priority="458">
      <formula>WEEKDAY(AE$3,2)&gt;5</formula>
    </cfRule>
  </conditionalFormatting>
  <conditionalFormatting sqref="AH161">
    <cfRule type="expression" priority="640">
      <formula>WEEKDAY(AF$3,2)&gt;5</formula>
    </cfRule>
  </conditionalFormatting>
  <conditionalFormatting sqref="D162:E162">
    <cfRule type="expression" priority="2641">
      <formula>WEEKDAY(B$3,2)&gt;5</formula>
    </cfRule>
  </conditionalFormatting>
  <conditionalFormatting sqref="F162">
    <cfRule type="expression" priority="2459">
      <formula>WEEKDAY(D$3,2)&gt;5</formula>
    </cfRule>
  </conditionalFormatting>
  <conditionalFormatting sqref="G162">
    <cfRule type="expression" priority="2823">
      <formula>WEEKDAY(E$3,2)&gt;5</formula>
    </cfRule>
  </conditionalFormatting>
  <conditionalFormatting sqref="H162">
    <cfRule type="expression" priority="2277">
      <formula>WEEKDAY(F$3,2)&gt;5</formula>
    </cfRule>
  </conditionalFormatting>
  <conditionalFormatting sqref="I162">
    <cfRule type="expression" priority="2095">
      <formula>WEEKDAY(#REF!,2)&gt;5</formula>
    </cfRule>
  </conditionalFormatting>
  <conditionalFormatting sqref="J162">
    <cfRule type="expression" priority="1913">
      <formula>WEEKDAY(#REF!,2)&gt;5</formula>
    </cfRule>
  </conditionalFormatting>
  <conditionalFormatting sqref="K162">
    <cfRule type="expression" priority="3187">
      <formula>WEEKDAY(#REF!,2)&gt;5</formula>
    </cfRule>
  </conditionalFormatting>
  <conditionalFormatting sqref="M162">
    <cfRule type="expression" priority="1731">
      <formula>WEEKDAY(K$3,2)&gt;5</formula>
    </cfRule>
  </conditionalFormatting>
  <conditionalFormatting sqref="O162:R162">
    <cfRule type="expression" priority="1549">
      <formula>WEEKDAY(#REF!,2)&gt;5</formula>
    </cfRule>
  </conditionalFormatting>
  <conditionalFormatting sqref="S162:T162">
    <cfRule type="expression" priority="1367">
      <formula>WEEKDAY(Q$3,2)&gt;5</formula>
    </cfRule>
  </conditionalFormatting>
  <conditionalFormatting sqref="U162:Y162">
    <cfRule type="expression" priority="1185">
      <formula>WEEKDAY(#REF!,2)&gt;5</formula>
    </cfRule>
  </conditionalFormatting>
  <conditionalFormatting sqref="X162:Y162">
    <cfRule type="expression" priority="3005">
      <formula>WEEKDAY(#REF!,2)&gt;5</formula>
    </cfRule>
  </conditionalFormatting>
  <conditionalFormatting sqref="Z162:AA162">
    <cfRule type="expression" priority="1003">
      <formula>WEEKDAY(X$3,2)&gt;5</formula>
    </cfRule>
  </conditionalFormatting>
  <conditionalFormatting sqref="AB162:AF162">
    <cfRule type="expression" priority="821">
      <formula>WEEKDAY(#REF!,2)&gt;5</formula>
    </cfRule>
  </conditionalFormatting>
  <conditionalFormatting sqref="AG162">
    <cfRule type="expression" priority="457">
      <formula>WEEKDAY(AE$3,2)&gt;5</formula>
    </cfRule>
  </conditionalFormatting>
  <conditionalFormatting sqref="AH162">
    <cfRule type="expression" priority="639">
      <formula>WEEKDAY(AF$3,2)&gt;5</formula>
    </cfRule>
  </conditionalFormatting>
  <conditionalFormatting sqref="D163:E163">
    <cfRule type="expression" priority="2640">
      <formula>WEEKDAY(B$3,2)&gt;5</formula>
    </cfRule>
  </conditionalFormatting>
  <conditionalFormatting sqref="F163">
    <cfRule type="expression" priority="2458">
      <formula>WEEKDAY(D$3,2)&gt;5</formula>
    </cfRule>
  </conditionalFormatting>
  <conditionalFormatting sqref="G163">
    <cfRule type="expression" priority="2822">
      <formula>WEEKDAY(E$3,2)&gt;5</formula>
    </cfRule>
  </conditionalFormatting>
  <conditionalFormatting sqref="H163">
    <cfRule type="expression" priority="2276">
      <formula>WEEKDAY(F$3,2)&gt;5</formula>
    </cfRule>
  </conditionalFormatting>
  <conditionalFormatting sqref="I163">
    <cfRule type="expression" priority="2094">
      <formula>WEEKDAY(#REF!,2)&gt;5</formula>
    </cfRule>
  </conditionalFormatting>
  <conditionalFormatting sqref="J163">
    <cfRule type="expression" priority="1912">
      <formula>WEEKDAY(#REF!,2)&gt;5</formula>
    </cfRule>
  </conditionalFormatting>
  <conditionalFormatting sqref="K163">
    <cfRule type="expression" priority="3186">
      <formula>WEEKDAY(#REF!,2)&gt;5</formula>
    </cfRule>
  </conditionalFormatting>
  <conditionalFormatting sqref="M163">
    <cfRule type="expression" priority="1730">
      <formula>WEEKDAY(K$3,2)&gt;5</formula>
    </cfRule>
  </conditionalFormatting>
  <conditionalFormatting sqref="O163:R163">
    <cfRule type="expression" priority="1548">
      <formula>WEEKDAY(#REF!,2)&gt;5</formula>
    </cfRule>
  </conditionalFormatting>
  <conditionalFormatting sqref="S163:T163">
    <cfRule type="expression" priority="1366">
      <formula>WEEKDAY(Q$3,2)&gt;5</formula>
    </cfRule>
  </conditionalFormatting>
  <conditionalFormatting sqref="U163:Y163">
    <cfRule type="expression" priority="1184">
      <formula>WEEKDAY(#REF!,2)&gt;5</formula>
    </cfRule>
  </conditionalFormatting>
  <conditionalFormatting sqref="X163:Y163">
    <cfRule type="expression" priority="3004">
      <formula>WEEKDAY(#REF!,2)&gt;5</formula>
    </cfRule>
  </conditionalFormatting>
  <conditionalFormatting sqref="Z163:AA163">
    <cfRule type="expression" priority="1002">
      <formula>WEEKDAY(X$3,2)&gt;5</formula>
    </cfRule>
  </conditionalFormatting>
  <conditionalFormatting sqref="AB163:AE163">
    <cfRule type="expression" priority="820">
      <formula>WEEKDAY(#REF!,2)&gt;5</formula>
    </cfRule>
  </conditionalFormatting>
  <conditionalFormatting sqref="AF163">
    <cfRule type="expression" priority="223">
      <formula>WEEKDAY(#REF!,2)&gt;5</formula>
    </cfRule>
  </conditionalFormatting>
  <conditionalFormatting sqref="AG163">
    <cfRule type="expression" priority="456">
      <formula>WEEKDAY(AE$3,2)&gt;5</formula>
    </cfRule>
  </conditionalFormatting>
  <conditionalFormatting sqref="AH163">
    <cfRule type="expression" priority="638">
      <formula>WEEKDAY(AF$3,2)&gt;5</formula>
    </cfRule>
  </conditionalFormatting>
  <conditionalFormatting sqref="D164:E164">
    <cfRule type="expression" priority="2639">
      <formula>WEEKDAY(B$3,2)&gt;5</formula>
    </cfRule>
  </conditionalFormatting>
  <conditionalFormatting sqref="F164">
    <cfRule type="expression" priority="2457">
      <formula>WEEKDAY(D$3,2)&gt;5</formula>
    </cfRule>
  </conditionalFormatting>
  <conditionalFormatting sqref="G164">
    <cfRule type="expression" priority="2821">
      <formula>WEEKDAY(E$3,2)&gt;5</formula>
    </cfRule>
  </conditionalFormatting>
  <conditionalFormatting sqref="H164">
    <cfRule type="expression" priority="2275">
      <formula>WEEKDAY(F$3,2)&gt;5</formula>
    </cfRule>
  </conditionalFormatting>
  <conditionalFormatting sqref="I164">
    <cfRule type="expression" priority="2093">
      <formula>WEEKDAY(#REF!,2)&gt;5</formula>
    </cfRule>
  </conditionalFormatting>
  <conditionalFormatting sqref="J164">
    <cfRule type="expression" priority="1911">
      <formula>WEEKDAY(#REF!,2)&gt;5</formula>
    </cfRule>
  </conditionalFormatting>
  <conditionalFormatting sqref="K164">
    <cfRule type="expression" priority="3185">
      <formula>WEEKDAY(#REF!,2)&gt;5</formula>
    </cfRule>
  </conditionalFormatting>
  <conditionalFormatting sqref="M164">
    <cfRule type="expression" priority="1729">
      <formula>WEEKDAY(K$3,2)&gt;5</formula>
    </cfRule>
  </conditionalFormatting>
  <conditionalFormatting sqref="O164:R164">
    <cfRule type="expression" priority="1547">
      <formula>WEEKDAY(#REF!,2)&gt;5</formula>
    </cfRule>
  </conditionalFormatting>
  <conditionalFormatting sqref="S164:T164">
    <cfRule type="expression" priority="1365">
      <formula>WEEKDAY(Q$3,2)&gt;5</formula>
    </cfRule>
  </conditionalFormatting>
  <conditionalFormatting sqref="U164:Y164">
    <cfRule type="expression" priority="1183">
      <formula>WEEKDAY(#REF!,2)&gt;5</formula>
    </cfRule>
  </conditionalFormatting>
  <conditionalFormatting sqref="X164:Y164">
    <cfRule type="expression" priority="3003">
      <formula>WEEKDAY(#REF!,2)&gt;5</formula>
    </cfRule>
  </conditionalFormatting>
  <conditionalFormatting sqref="Z164:AA164">
    <cfRule type="expression" priority="1001">
      <formula>WEEKDAY(X$3,2)&gt;5</formula>
    </cfRule>
  </conditionalFormatting>
  <conditionalFormatting sqref="AB164:AF164">
    <cfRule type="expression" priority="819">
      <formula>WEEKDAY(#REF!,2)&gt;5</formula>
    </cfRule>
  </conditionalFormatting>
  <conditionalFormatting sqref="AG164">
    <cfRule type="expression" priority="455">
      <formula>WEEKDAY(AE$3,2)&gt;5</formula>
    </cfRule>
  </conditionalFormatting>
  <conditionalFormatting sqref="AH164">
    <cfRule type="expression" priority="637">
      <formula>WEEKDAY(AF$3,2)&gt;5</formula>
    </cfRule>
  </conditionalFormatting>
  <conditionalFormatting sqref="D165:E165">
    <cfRule type="expression" priority="2638">
      <formula>WEEKDAY(B$3,2)&gt;5</formula>
    </cfRule>
  </conditionalFormatting>
  <conditionalFormatting sqref="F165">
    <cfRule type="expression" priority="2456">
      <formula>WEEKDAY(D$3,2)&gt;5</formula>
    </cfRule>
  </conditionalFormatting>
  <conditionalFormatting sqref="G165">
    <cfRule type="expression" priority="2820">
      <formula>WEEKDAY(E$3,2)&gt;5</formula>
    </cfRule>
  </conditionalFormatting>
  <conditionalFormatting sqref="H165">
    <cfRule type="expression" priority="2274">
      <formula>WEEKDAY(F$3,2)&gt;5</formula>
    </cfRule>
  </conditionalFormatting>
  <conditionalFormatting sqref="I165">
    <cfRule type="expression" priority="2092">
      <formula>WEEKDAY(#REF!,2)&gt;5</formula>
    </cfRule>
  </conditionalFormatting>
  <conditionalFormatting sqref="J165">
    <cfRule type="expression" priority="1910">
      <formula>WEEKDAY(#REF!,2)&gt;5</formula>
    </cfRule>
  </conditionalFormatting>
  <conditionalFormatting sqref="K165">
    <cfRule type="expression" priority="3184">
      <formula>WEEKDAY(#REF!,2)&gt;5</formula>
    </cfRule>
  </conditionalFormatting>
  <conditionalFormatting sqref="M165">
    <cfRule type="expression" priority="1728">
      <formula>WEEKDAY(K$3,2)&gt;5</formula>
    </cfRule>
  </conditionalFormatting>
  <conditionalFormatting sqref="O165:R165">
    <cfRule type="expression" priority="1546">
      <formula>WEEKDAY(#REF!,2)&gt;5</formula>
    </cfRule>
  </conditionalFormatting>
  <conditionalFormatting sqref="S165:T165">
    <cfRule type="expression" priority="1364">
      <formula>WEEKDAY(Q$3,2)&gt;5</formula>
    </cfRule>
  </conditionalFormatting>
  <conditionalFormatting sqref="U165:Y165">
    <cfRule type="expression" priority="1182">
      <formula>WEEKDAY(#REF!,2)&gt;5</formula>
    </cfRule>
  </conditionalFormatting>
  <conditionalFormatting sqref="X165:Y165">
    <cfRule type="expression" priority="3002">
      <formula>WEEKDAY(#REF!,2)&gt;5</formula>
    </cfRule>
  </conditionalFormatting>
  <conditionalFormatting sqref="Z165:AA165">
    <cfRule type="expression" priority="1000">
      <formula>WEEKDAY(X$3,2)&gt;5</formula>
    </cfRule>
  </conditionalFormatting>
  <conditionalFormatting sqref="AB165:AF165">
    <cfRule type="expression" priority="818">
      <formula>WEEKDAY(#REF!,2)&gt;5</formula>
    </cfRule>
  </conditionalFormatting>
  <conditionalFormatting sqref="AG165">
    <cfRule type="expression" priority="454">
      <formula>WEEKDAY(AE$3,2)&gt;5</formula>
    </cfRule>
  </conditionalFormatting>
  <conditionalFormatting sqref="AH165">
    <cfRule type="expression" priority="636">
      <formula>WEEKDAY(AF$3,2)&gt;5</formula>
    </cfRule>
  </conditionalFormatting>
  <conditionalFormatting sqref="D166">
    <cfRule type="expression" priority="216">
      <formula>WEEKDAY(B$3,2)&gt;5</formula>
    </cfRule>
  </conditionalFormatting>
  <conditionalFormatting sqref="E166">
    <cfRule type="expression" priority="217">
      <formula>WEEKDAY(C$3,2)&gt;5</formula>
    </cfRule>
  </conditionalFormatting>
  <conditionalFormatting sqref="F166">
    <cfRule type="expression" priority="2455">
      <formula>WEEKDAY(D$3,2)&gt;5</formula>
    </cfRule>
  </conditionalFormatting>
  <conditionalFormatting sqref="G166">
    <cfRule type="expression" priority="2819">
      <formula>WEEKDAY(E$3,2)&gt;5</formula>
    </cfRule>
  </conditionalFormatting>
  <conditionalFormatting sqref="H166">
    <cfRule type="expression" priority="2273">
      <formula>WEEKDAY(F$3,2)&gt;5</formula>
    </cfRule>
  </conditionalFormatting>
  <conditionalFormatting sqref="I166">
    <cfRule type="expression" priority="222">
      <formula>WEEKDAY(#REF!,2)&gt;5</formula>
    </cfRule>
  </conditionalFormatting>
  <conditionalFormatting sqref="J166:L166">
    <cfRule type="expression" priority="221">
      <formula>WEEKDAY(#REF!,2)&gt;5</formula>
    </cfRule>
  </conditionalFormatting>
  <conditionalFormatting sqref="M166">
    <cfRule type="expression" priority="1727">
      <formula>WEEKDAY(K$3,2)&gt;5</formula>
    </cfRule>
  </conditionalFormatting>
  <conditionalFormatting sqref="N166:R166">
    <cfRule type="expression" priority="220">
      <formula>WEEKDAY(#REF!,2)&gt;5</formula>
    </cfRule>
  </conditionalFormatting>
  <conditionalFormatting sqref="S166:T166">
    <cfRule type="expression" priority="1363">
      <formula>WEEKDAY(Q$3,2)&gt;5</formula>
    </cfRule>
  </conditionalFormatting>
  <conditionalFormatting sqref="U166:Y166">
    <cfRule type="expression" priority="219">
      <formula>WEEKDAY(#REF!,2)&gt;5</formula>
    </cfRule>
  </conditionalFormatting>
  <conditionalFormatting sqref="Z166:AA166">
    <cfRule type="expression" priority="999">
      <formula>WEEKDAY(X$3,2)&gt;5</formula>
    </cfRule>
  </conditionalFormatting>
  <conditionalFormatting sqref="AB166:AF166">
    <cfRule type="expression" priority="218">
      <formula>WEEKDAY(#REF!,2)&gt;5</formula>
    </cfRule>
  </conditionalFormatting>
  <conditionalFormatting sqref="AG166">
    <cfRule type="expression" priority="453">
      <formula>WEEKDAY(AE$3,2)&gt;5</formula>
    </cfRule>
  </conditionalFormatting>
  <conditionalFormatting sqref="AH166">
    <cfRule type="expression" priority="635">
      <formula>WEEKDAY(AF$3,2)&gt;5</formula>
    </cfRule>
  </conditionalFormatting>
  <conditionalFormatting sqref="D167:E167">
    <cfRule type="expression" priority="2636">
      <formula>WEEKDAY(B$3,2)&gt;5</formula>
    </cfRule>
  </conditionalFormatting>
  <conditionalFormatting sqref="F167">
    <cfRule type="expression" priority="2454">
      <formula>WEEKDAY(D$3,2)&gt;5</formula>
    </cfRule>
  </conditionalFormatting>
  <conditionalFormatting sqref="G167">
    <cfRule type="expression" priority="2818">
      <formula>WEEKDAY(E$3,2)&gt;5</formula>
    </cfRule>
  </conditionalFormatting>
  <conditionalFormatting sqref="H167">
    <cfRule type="expression" priority="2272">
      <formula>WEEKDAY(F$3,2)&gt;5</formula>
    </cfRule>
  </conditionalFormatting>
  <conditionalFormatting sqref="I167">
    <cfRule type="expression" priority="2090">
      <formula>WEEKDAY(#REF!,2)&gt;5</formula>
    </cfRule>
  </conditionalFormatting>
  <conditionalFormatting sqref="J167">
    <cfRule type="expression" priority="1908">
      <formula>WEEKDAY(#REF!,2)&gt;5</formula>
    </cfRule>
  </conditionalFormatting>
  <conditionalFormatting sqref="K167">
    <cfRule type="expression" priority="3182">
      <formula>WEEKDAY(#REF!,2)&gt;5</formula>
    </cfRule>
  </conditionalFormatting>
  <conditionalFormatting sqref="M167">
    <cfRule type="expression" priority="1726">
      <formula>WEEKDAY(K$3,2)&gt;5</formula>
    </cfRule>
  </conditionalFormatting>
  <conditionalFormatting sqref="O167:R167">
    <cfRule type="expression" priority="1544">
      <formula>WEEKDAY(#REF!,2)&gt;5</formula>
    </cfRule>
  </conditionalFormatting>
  <conditionalFormatting sqref="S167:T167">
    <cfRule type="expression" priority="1362">
      <formula>WEEKDAY(Q$3,2)&gt;5</formula>
    </cfRule>
  </conditionalFormatting>
  <conditionalFormatting sqref="U167">
    <cfRule type="expression" priority="214">
      <formula>WEEKDAY(#REF!,2)&gt;5</formula>
    </cfRule>
  </conditionalFormatting>
  <conditionalFormatting sqref="V167:Y167">
    <cfRule type="expression" priority="1180">
      <formula>WEEKDAY(#REF!,2)&gt;5</formula>
    </cfRule>
  </conditionalFormatting>
  <conditionalFormatting sqref="X167:Y167">
    <cfRule type="expression" priority="3000">
      <formula>WEEKDAY(#REF!,2)&gt;5</formula>
    </cfRule>
  </conditionalFormatting>
  <conditionalFormatting sqref="Z167:AA167">
    <cfRule type="expression" priority="998">
      <formula>WEEKDAY(X$3,2)&gt;5</formula>
    </cfRule>
  </conditionalFormatting>
  <conditionalFormatting sqref="AB167:AF167">
    <cfRule type="expression" priority="816">
      <formula>WEEKDAY(#REF!,2)&gt;5</formula>
    </cfRule>
  </conditionalFormatting>
  <conditionalFormatting sqref="AG167">
    <cfRule type="expression" priority="452">
      <formula>WEEKDAY(AE$3,2)&gt;5</formula>
    </cfRule>
  </conditionalFormatting>
  <conditionalFormatting sqref="AH167">
    <cfRule type="expression" priority="634">
      <formula>WEEKDAY(AF$3,2)&gt;5</formula>
    </cfRule>
  </conditionalFormatting>
  <conditionalFormatting sqref="D168:E168">
    <cfRule type="expression" priority="208">
      <formula>WEEKDAY(B$3,2)&gt;5</formula>
    </cfRule>
  </conditionalFormatting>
  <conditionalFormatting sqref="F168">
    <cfRule type="expression" priority="207">
      <formula>WEEKDAY(D$3,2)&gt;5</formula>
    </cfRule>
  </conditionalFormatting>
  <conditionalFormatting sqref="G168">
    <cfRule type="expression" priority="209">
      <formula>WEEKDAY(E$3,2)&gt;5</formula>
    </cfRule>
  </conditionalFormatting>
  <conditionalFormatting sqref="H168">
    <cfRule type="expression" priority="206">
      <formula>WEEKDAY(F$3,2)&gt;5</formula>
    </cfRule>
  </conditionalFormatting>
  <conditionalFormatting sqref="I168">
    <cfRule type="expression" priority="191">
      <formula>WEEKDAY(#REF!,2)&gt;5</formula>
    </cfRule>
  </conditionalFormatting>
  <conditionalFormatting sqref="J168:L168">
    <cfRule type="expression" priority="193">
      <formula>WEEKDAY(#REF!,2)&gt;5</formula>
    </cfRule>
  </conditionalFormatting>
  <conditionalFormatting sqref="M168">
    <cfRule type="expression" priority="204">
      <formula>WEEKDAY(K$3,2)&gt;5</formula>
    </cfRule>
  </conditionalFormatting>
  <conditionalFormatting sqref="N168">
    <cfRule type="expression" priority="196">
      <formula>WEEKDAY(#REF!,2)&gt;5</formula>
    </cfRule>
  </conditionalFormatting>
  <conditionalFormatting sqref="O168:R168">
    <cfRule type="expression" priority="203">
      <formula>WEEKDAY(#REF!,2)&gt;5</formula>
    </cfRule>
  </conditionalFormatting>
  <conditionalFormatting sqref="S168:T168">
    <cfRule type="expression" priority="202">
      <formula>WEEKDAY(Q$3,2)&gt;5</formula>
    </cfRule>
  </conditionalFormatting>
  <conditionalFormatting sqref="U168">
    <cfRule type="expression" priority="189">
      <formula>WEEKDAY(#REF!,2)&gt;5</formula>
    </cfRule>
  </conditionalFormatting>
  <conditionalFormatting sqref="V168">
    <cfRule type="expression" priority="201">
      <formula>WEEKDAY(#REF!,2)&gt;5</formula>
    </cfRule>
  </conditionalFormatting>
  <conditionalFormatting sqref="W168">
    <cfRule type="expression" priority="192">
      <formula>WEEKDAY(#REF!,2)&gt;5</formula>
    </cfRule>
  </conditionalFormatting>
  <conditionalFormatting sqref="X168">
    <cfRule type="expression" priority="200">
      <formula>WEEKDAY(#REF!,2)&gt;5</formula>
    </cfRule>
  </conditionalFormatting>
  <conditionalFormatting sqref="Y168">
    <cfRule type="expression" priority="195">
      <formula>WEEKDAY(#REF!,2)&gt;5</formula>
    </cfRule>
  </conditionalFormatting>
  <conditionalFormatting sqref="Z168:AA168">
    <cfRule type="expression" priority="199">
      <formula>WEEKDAY(X$3,2)&gt;5</formula>
    </cfRule>
  </conditionalFormatting>
  <conditionalFormatting sqref="AB168">
    <cfRule type="expression" priority="198">
      <formula>WEEKDAY(#REF!,2)&gt;5</formula>
    </cfRule>
  </conditionalFormatting>
  <conditionalFormatting sqref="AC168">
    <cfRule type="expression" priority="197">
      <formula>WEEKDAY(#REF!,2)&gt;5</formula>
    </cfRule>
  </conditionalFormatting>
  <conditionalFormatting sqref="AE168">
    <cfRule type="expression" priority="190">
      <formula>WEEKDAY(#REF!,2)&gt;5</formula>
    </cfRule>
  </conditionalFormatting>
  <conditionalFormatting sqref="AG168:AH168">
    <cfRule type="expression" priority="205">
      <formula>WEEKDAY(#REF!,2)&gt;5</formula>
    </cfRule>
  </conditionalFormatting>
  <conditionalFormatting sqref="B169">
    <cfRule type="duplicateValues" dxfId="1" priority="15453"/>
  </conditionalFormatting>
  <conditionalFormatting sqref="D169:E169">
    <cfRule type="expression" priority="157">
      <formula>WEEKDAY(B$3,2)&gt;5</formula>
    </cfRule>
  </conditionalFormatting>
  <conditionalFormatting sqref="F169">
    <cfRule type="expression" priority="156">
      <formula>WEEKDAY(D$3,2)&gt;5</formula>
    </cfRule>
  </conditionalFormatting>
  <conditionalFormatting sqref="G169">
    <cfRule type="expression" priority="158">
      <formula>WEEKDAY(E$3,2)&gt;5</formula>
    </cfRule>
  </conditionalFormatting>
  <conditionalFormatting sqref="H169">
    <cfRule type="expression" priority="155">
      <formula>WEEKDAY(F$3,2)&gt;5</formula>
    </cfRule>
  </conditionalFormatting>
  <conditionalFormatting sqref="I169:K169">
    <cfRule type="expression" priority="154">
      <formula>WEEKDAY(#REF!,2)&gt;5</formula>
    </cfRule>
  </conditionalFormatting>
  <conditionalFormatting sqref="L169">
    <cfRule type="expression" priority="152">
      <formula>WEEKDAY(#REF!,2)&gt;5</formula>
    </cfRule>
  </conditionalFormatting>
  <conditionalFormatting sqref="M169">
    <cfRule type="expression" priority="151">
      <formula>WEEKDAY(K$3,2)&gt;5</formula>
    </cfRule>
  </conditionalFormatting>
  <conditionalFormatting sqref="N169:R169">
    <cfRule type="expression" priority="150">
      <formula>WEEKDAY(#REF!,2)&gt;5</formula>
    </cfRule>
  </conditionalFormatting>
  <conditionalFormatting sqref="S169:AH169">
    <cfRule type="expression" priority="153">
      <formula>WEEKDAY(#REF!,2)&gt;5</formula>
    </cfRule>
  </conditionalFormatting>
  <conditionalFormatting sqref="D170:E170">
    <cfRule type="expression" priority="2633">
      <formula>WEEKDAY(B$3,2)&gt;5</formula>
    </cfRule>
  </conditionalFormatting>
  <conditionalFormatting sqref="F170">
    <cfRule type="expression" priority="2451">
      <formula>WEEKDAY(D$3,2)&gt;5</formula>
    </cfRule>
  </conditionalFormatting>
  <conditionalFormatting sqref="G170">
    <cfRule type="expression" priority="2815">
      <formula>WEEKDAY(E$3,2)&gt;5</formula>
    </cfRule>
  </conditionalFormatting>
  <conditionalFormatting sqref="H170">
    <cfRule type="expression" priority="2269">
      <formula>WEEKDAY(F$3,2)&gt;5</formula>
    </cfRule>
  </conditionalFormatting>
  <conditionalFormatting sqref="I170">
    <cfRule type="expression" priority="2087">
      <formula>WEEKDAY(#REF!,2)&gt;5</formula>
    </cfRule>
  </conditionalFormatting>
  <conditionalFormatting sqref="J170">
    <cfRule type="expression" priority="1905">
      <formula>WEEKDAY(#REF!,2)&gt;5</formula>
    </cfRule>
  </conditionalFormatting>
  <conditionalFormatting sqref="K170">
    <cfRule type="expression" priority="3179">
      <formula>WEEKDAY(#REF!,2)&gt;5</formula>
    </cfRule>
  </conditionalFormatting>
  <conditionalFormatting sqref="M170">
    <cfRule type="expression" priority="1723">
      <formula>WEEKDAY(K$3,2)&gt;5</formula>
    </cfRule>
  </conditionalFormatting>
  <conditionalFormatting sqref="O170">
    <cfRule type="expression" priority="186">
      <formula>WEEKDAY(#REF!,2)&gt;5</formula>
    </cfRule>
  </conditionalFormatting>
  <conditionalFormatting sqref="P170:R170">
    <cfRule type="expression" priority="1541">
      <formula>WEEKDAY(#REF!,2)&gt;5</formula>
    </cfRule>
  </conditionalFormatting>
  <conditionalFormatting sqref="S170:T170">
    <cfRule type="expression" priority="1359">
      <formula>WEEKDAY(Q$3,2)&gt;5</formula>
    </cfRule>
  </conditionalFormatting>
  <conditionalFormatting sqref="U170:Y170">
    <cfRule type="expression" priority="1177">
      <formula>WEEKDAY(#REF!,2)&gt;5</formula>
    </cfRule>
  </conditionalFormatting>
  <conditionalFormatting sqref="X170:Y170">
    <cfRule type="expression" priority="2997">
      <formula>WEEKDAY(#REF!,2)&gt;5</formula>
    </cfRule>
  </conditionalFormatting>
  <conditionalFormatting sqref="Z170:AA170">
    <cfRule type="expression" priority="995">
      <formula>WEEKDAY(X$3,2)&gt;5</formula>
    </cfRule>
  </conditionalFormatting>
  <conditionalFormatting sqref="AB170:AF170">
    <cfRule type="expression" priority="813">
      <formula>WEEKDAY(#REF!,2)&gt;5</formula>
    </cfRule>
  </conditionalFormatting>
  <conditionalFormatting sqref="AG170">
    <cfRule type="expression" priority="449">
      <formula>WEEKDAY(AE$3,2)&gt;5</formula>
    </cfRule>
  </conditionalFormatting>
  <conditionalFormatting sqref="AH170">
    <cfRule type="expression" priority="631">
      <formula>WEEKDAY(AF$3,2)&gt;5</formula>
    </cfRule>
  </conditionalFormatting>
  <conditionalFormatting sqref="D171:E171">
    <cfRule type="expression" priority="2632">
      <formula>WEEKDAY(B$3,2)&gt;5</formula>
    </cfRule>
  </conditionalFormatting>
  <conditionalFormatting sqref="F171">
    <cfRule type="expression" priority="2450">
      <formula>WEEKDAY(D$3,2)&gt;5</formula>
    </cfRule>
  </conditionalFormatting>
  <conditionalFormatting sqref="G171">
    <cfRule type="expression" priority="2814">
      <formula>WEEKDAY(E$3,2)&gt;5</formula>
    </cfRule>
  </conditionalFormatting>
  <conditionalFormatting sqref="H171">
    <cfRule type="expression" priority="2268">
      <formula>WEEKDAY(F$3,2)&gt;5</formula>
    </cfRule>
  </conditionalFormatting>
  <conditionalFormatting sqref="I171">
    <cfRule type="expression" priority="2086">
      <formula>WEEKDAY(#REF!,2)&gt;5</formula>
    </cfRule>
  </conditionalFormatting>
  <conditionalFormatting sqref="J171">
    <cfRule type="expression" priority="1904">
      <formula>WEEKDAY(#REF!,2)&gt;5</formula>
    </cfRule>
  </conditionalFormatting>
  <conditionalFormatting sqref="K171">
    <cfRule type="expression" priority="3178">
      <formula>WEEKDAY(#REF!,2)&gt;5</formula>
    </cfRule>
  </conditionalFormatting>
  <conditionalFormatting sqref="L171">
    <cfRule type="expression" priority="159">
      <formula>WEEKDAY(#REF!,2)&gt;5</formula>
    </cfRule>
  </conditionalFormatting>
  <conditionalFormatting sqref="M171">
    <cfRule type="expression" priority="1722">
      <formula>WEEKDAY(K$3,2)&gt;5</formula>
    </cfRule>
  </conditionalFormatting>
  <conditionalFormatting sqref="N171">
    <cfRule type="expression" priority="3360">
      <formula>WEEKDAY(#REF!,2)&gt;5</formula>
    </cfRule>
  </conditionalFormatting>
  <conditionalFormatting sqref="O171:R171">
    <cfRule type="expression" priority="1540">
      <formula>WEEKDAY(#REF!,2)&gt;5</formula>
    </cfRule>
  </conditionalFormatting>
  <conditionalFormatting sqref="S171:T171">
    <cfRule type="expression" priority="1358">
      <formula>WEEKDAY(Q$3,2)&gt;5</formula>
    </cfRule>
  </conditionalFormatting>
  <conditionalFormatting sqref="U171:Y171">
    <cfRule type="expression" priority="1176">
      <formula>WEEKDAY(#REF!,2)&gt;5</formula>
    </cfRule>
  </conditionalFormatting>
  <conditionalFormatting sqref="X171:Y171">
    <cfRule type="expression" priority="2996">
      <formula>WEEKDAY(#REF!,2)&gt;5</formula>
    </cfRule>
  </conditionalFormatting>
  <conditionalFormatting sqref="Z171:AA171">
    <cfRule type="expression" priority="994">
      <formula>WEEKDAY(X$3,2)&gt;5</formula>
    </cfRule>
  </conditionalFormatting>
  <conditionalFormatting sqref="AB171:AF171">
    <cfRule type="expression" priority="812">
      <formula>WEEKDAY(#REF!,2)&gt;5</formula>
    </cfRule>
  </conditionalFormatting>
  <conditionalFormatting sqref="AG171">
    <cfRule type="expression" priority="448">
      <formula>WEEKDAY(AE$3,2)&gt;5</formula>
    </cfRule>
  </conditionalFormatting>
  <conditionalFormatting sqref="AH171">
    <cfRule type="expression" priority="630">
      <formula>WEEKDAY(AF$3,2)&gt;5</formula>
    </cfRule>
  </conditionalFormatting>
  <conditionalFormatting sqref="D172:E172">
    <cfRule type="expression" priority="2631">
      <formula>WEEKDAY(B$3,2)&gt;5</formula>
    </cfRule>
  </conditionalFormatting>
  <conditionalFormatting sqref="F172">
    <cfRule type="expression" priority="2449">
      <formula>WEEKDAY(D$3,2)&gt;5</formula>
    </cfRule>
  </conditionalFormatting>
  <conditionalFormatting sqref="G172">
    <cfRule type="expression" priority="2813">
      <formula>WEEKDAY(E$3,2)&gt;5</formula>
    </cfRule>
  </conditionalFormatting>
  <conditionalFormatting sqref="H172">
    <cfRule type="expression" priority="2267">
      <formula>WEEKDAY(F$3,2)&gt;5</formula>
    </cfRule>
  </conditionalFormatting>
  <conditionalFormatting sqref="I172">
    <cfRule type="expression" priority="166">
      <formula>WEEKDAY(#REF!,2)&gt;5</formula>
    </cfRule>
  </conditionalFormatting>
  <conditionalFormatting sqref="J172">
    <cfRule type="expression" priority="1903">
      <formula>WEEKDAY(#REF!,2)&gt;5</formula>
    </cfRule>
  </conditionalFormatting>
  <conditionalFormatting sqref="K172">
    <cfRule type="expression" priority="3177">
      <formula>WEEKDAY(#REF!,2)&gt;5</formula>
    </cfRule>
  </conditionalFormatting>
  <conditionalFormatting sqref="M172">
    <cfRule type="expression" priority="1721">
      <formula>WEEKDAY(K$3,2)&gt;5</formula>
    </cfRule>
  </conditionalFormatting>
  <conditionalFormatting sqref="O172:R172">
    <cfRule type="expression" priority="1539">
      <formula>WEEKDAY(#REF!,2)&gt;5</formula>
    </cfRule>
  </conditionalFormatting>
  <conditionalFormatting sqref="S172:T172">
    <cfRule type="expression" priority="1357">
      <formula>WEEKDAY(Q$3,2)&gt;5</formula>
    </cfRule>
  </conditionalFormatting>
  <conditionalFormatting sqref="U172">
    <cfRule type="expression" priority="164">
      <formula>WEEKDAY(#REF!,2)&gt;5</formula>
    </cfRule>
  </conditionalFormatting>
  <conditionalFormatting sqref="X172">
    <cfRule type="expression" priority="165">
      <formula>WEEKDAY(#REF!,2)&gt;5</formula>
    </cfRule>
  </conditionalFormatting>
  <conditionalFormatting sqref="Y172">
    <cfRule type="expression" priority="2995">
      <formula>WEEKDAY(#REF!,2)&gt;5</formula>
    </cfRule>
  </conditionalFormatting>
  <conditionalFormatting sqref="Z172:AA172">
    <cfRule type="expression" priority="993">
      <formula>WEEKDAY(X$3,2)&gt;5</formula>
    </cfRule>
  </conditionalFormatting>
  <conditionalFormatting sqref="AB172:AF172">
    <cfRule type="expression" priority="811">
      <formula>WEEKDAY(#REF!,2)&gt;5</formula>
    </cfRule>
  </conditionalFormatting>
  <conditionalFormatting sqref="AG172">
    <cfRule type="expression" priority="447">
      <formula>WEEKDAY(AE$3,2)&gt;5</formula>
    </cfRule>
  </conditionalFormatting>
  <conditionalFormatting sqref="AH172">
    <cfRule type="expression" priority="629">
      <formula>WEEKDAY(AF$3,2)&gt;5</formula>
    </cfRule>
  </conditionalFormatting>
  <conditionalFormatting sqref="D173:E173">
    <cfRule type="expression" priority="176">
      <formula>WEEKDAY(B$3,2)&gt;5</formula>
    </cfRule>
  </conditionalFormatting>
  <conditionalFormatting sqref="F173">
    <cfRule type="expression" priority="175">
      <formula>WEEKDAY(D$3,2)&gt;5</formula>
    </cfRule>
  </conditionalFormatting>
  <conditionalFormatting sqref="G173">
    <cfRule type="expression" priority="177">
      <formula>WEEKDAY(E$3,2)&gt;5</formula>
    </cfRule>
  </conditionalFormatting>
  <conditionalFormatting sqref="H173">
    <cfRule type="expression" priority="174">
      <formula>WEEKDAY(F$3,2)&gt;5</formula>
    </cfRule>
  </conditionalFormatting>
  <conditionalFormatting sqref="I173:K173">
    <cfRule type="expression" priority="173">
      <formula>WEEKDAY(#REF!,2)&gt;5</formula>
    </cfRule>
  </conditionalFormatting>
  <conditionalFormatting sqref="L173">
    <cfRule type="expression" priority="171">
      <formula>WEEKDAY(#REF!,2)&gt;5</formula>
    </cfRule>
  </conditionalFormatting>
  <conditionalFormatting sqref="M173">
    <cfRule type="expression" priority="170">
      <formula>WEEKDAY(K$3,2)&gt;5</formula>
    </cfRule>
  </conditionalFormatting>
  <conditionalFormatting sqref="N173:R173">
    <cfRule type="expression" priority="169">
      <formula>WEEKDAY(#REF!,2)&gt;5</formula>
    </cfRule>
  </conditionalFormatting>
  <conditionalFormatting sqref="S173:T173">
    <cfRule type="expression" priority="168">
      <formula>WEEKDAY(Q$3,2)&gt;5</formula>
    </cfRule>
  </conditionalFormatting>
  <conditionalFormatting sqref="U173:W173">
    <cfRule type="expression" priority="167">
      <formula>WEEKDAY(#REF!,2)&gt;5</formula>
    </cfRule>
  </conditionalFormatting>
  <conditionalFormatting sqref="X173:AH173">
    <cfRule type="expression" priority="172">
      <formula>WEEKDAY(#REF!,2)&gt;5</formula>
    </cfRule>
  </conditionalFormatting>
  <conditionalFormatting sqref="D174:E174">
    <cfRule type="expression" priority="2628">
      <formula>WEEKDAY(B$3,2)&gt;5</formula>
    </cfRule>
  </conditionalFormatting>
  <conditionalFormatting sqref="F174">
    <cfRule type="expression" priority="2446">
      <formula>WEEKDAY(D$3,2)&gt;5</formula>
    </cfRule>
  </conditionalFormatting>
  <conditionalFormatting sqref="G174">
    <cfRule type="expression" priority="2810">
      <formula>WEEKDAY(E$3,2)&gt;5</formula>
    </cfRule>
  </conditionalFormatting>
  <conditionalFormatting sqref="H174">
    <cfRule type="expression" priority="2264">
      <formula>WEEKDAY(F$3,2)&gt;5</formula>
    </cfRule>
  </conditionalFormatting>
  <conditionalFormatting sqref="I174">
    <cfRule type="expression" priority="2082">
      <formula>WEEKDAY(#REF!,2)&gt;5</formula>
    </cfRule>
  </conditionalFormatting>
  <conditionalFormatting sqref="J174">
    <cfRule type="expression" priority="1900">
      <formula>WEEKDAY(#REF!,2)&gt;5</formula>
    </cfRule>
  </conditionalFormatting>
  <conditionalFormatting sqref="K174">
    <cfRule type="expression" priority="3174">
      <formula>WEEKDAY(#REF!,2)&gt;5</formula>
    </cfRule>
  </conditionalFormatting>
  <conditionalFormatting sqref="M174">
    <cfRule type="expression" priority="1718">
      <formula>WEEKDAY(K$3,2)&gt;5</formula>
    </cfRule>
  </conditionalFormatting>
  <conditionalFormatting sqref="O174:R174">
    <cfRule type="expression" priority="1536">
      <formula>WEEKDAY(#REF!,2)&gt;5</formula>
    </cfRule>
  </conditionalFormatting>
  <conditionalFormatting sqref="S174:T174">
    <cfRule type="expression" priority="1354">
      <formula>WEEKDAY(Q$3,2)&gt;5</formula>
    </cfRule>
  </conditionalFormatting>
  <conditionalFormatting sqref="U174:Y174">
    <cfRule type="expression" priority="1172">
      <formula>WEEKDAY(#REF!,2)&gt;5</formula>
    </cfRule>
  </conditionalFormatting>
  <conditionalFormatting sqref="X174:Y174">
    <cfRule type="expression" priority="2992">
      <formula>WEEKDAY(#REF!,2)&gt;5</formula>
    </cfRule>
  </conditionalFormatting>
  <conditionalFormatting sqref="Z174:AA174">
    <cfRule type="expression" priority="990">
      <formula>WEEKDAY(X$3,2)&gt;5</formula>
    </cfRule>
  </conditionalFormatting>
  <conditionalFormatting sqref="AB174:AF174">
    <cfRule type="expression" priority="808">
      <formula>WEEKDAY(#REF!,2)&gt;5</formula>
    </cfRule>
  </conditionalFormatting>
  <conditionalFormatting sqref="AG174">
    <cfRule type="expression" priority="444">
      <formula>WEEKDAY(AE$3,2)&gt;5</formula>
    </cfRule>
  </conditionalFormatting>
  <conditionalFormatting sqref="AH174">
    <cfRule type="expression" priority="626">
      <formula>WEEKDAY(AF$3,2)&gt;5</formula>
    </cfRule>
  </conditionalFormatting>
  <conditionalFormatting sqref="D175:E175">
    <cfRule type="expression" priority="2627">
      <formula>WEEKDAY(B$3,2)&gt;5</formula>
    </cfRule>
  </conditionalFormatting>
  <conditionalFormatting sqref="F175">
    <cfRule type="expression" priority="2445">
      <formula>WEEKDAY(D$3,2)&gt;5</formula>
    </cfRule>
  </conditionalFormatting>
  <conditionalFormatting sqref="G175">
    <cfRule type="expression" priority="2809">
      <formula>WEEKDAY(E$3,2)&gt;5</formula>
    </cfRule>
  </conditionalFormatting>
  <conditionalFormatting sqref="H175">
    <cfRule type="expression" priority="2263">
      <formula>WEEKDAY(F$3,2)&gt;5</formula>
    </cfRule>
  </conditionalFormatting>
  <conditionalFormatting sqref="I175">
    <cfRule type="expression" priority="2081">
      <formula>WEEKDAY(#REF!,2)&gt;5</formula>
    </cfRule>
  </conditionalFormatting>
  <conditionalFormatting sqref="J175">
    <cfRule type="expression" priority="1899">
      <formula>WEEKDAY(#REF!,2)&gt;5</formula>
    </cfRule>
  </conditionalFormatting>
  <conditionalFormatting sqref="K175">
    <cfRule type="expression" priority="3173">
      <formula>WEEKDAY(#REF!,2)&gt;5</formula>
    </cfRule>
  </conditionalFormatting>
  <conditionalFormatting sqref="M175">
    <cfRule type="expression" priority="1717">
      <formula>WEEKDAY(K$3,2)&gt;5</formula>
    </cfRule>
  </conditionalFormatting>
  <conditionalFormatting sqref="O175:R175">
    <cfRule type="expression" priority="1535">
      <formula>WEEKDAY(#REF!,2)&gt;5</formula>
    </cfRule>
  </conditionalFormatting>
  <conditionalFormatting sqref="S175:T175">
    <cfRule type="expression" priority="1353">
      <formula>WEEKDAY(Q$3,2)&gt;5</formula>
    </cfRule>
  </conditionalFormatting>
  <conditionalFormatting sqref="U175">
    <cfRule type="expression" priority="129">
      <formula>WEEKDAY(#REF!,2)&gt;5</formula>
    </cfRule>
  </conditionalFormatting>
  <conditionalFormatting sqref="V175">
    <cfRule type="expression" priority="128">
      <formula>WEEKDAY(#REF!,2)&gt;5</formula>
    </cfRule>
  </conditionalFormatting>
  <conditionalFormatting sqref="W175">
    <cfRule type="expression" priority="127">
      <formula>WEEKDAY(S$3,2)&gt;5</formula>
    </cfRule>
  </conditionalFormatting>
  <conditionalFormatting sqref="X175:Y175">
    <cfRule type="expression" priority="1171">
      <formula>WEEKDAY(#REF!,2)&gt;5</formula>
    </cfRule>
  </conditionalFormatting>
  <conditionalFormatting sqref="Z175:AA175">
    <cfRule type="expression" priority="989">
      <formula>WEEKDAY(X$3,2)&gt;5</formula>
    </cfRule>
  </conditionalFormatting>
  <conditionalFormatting sqref="AB175:AF175">
    <cfRule type="expression" priority="807">
      <formula>WEEKDAY(#REF!,2)&gt;5</formula>
    </cfRule>
  </conditionalFormatting>
  <conditionalFormatting sqref="AG175">
    <cfRule type="expression" priority="443">
      <formula>WEEKDAY(AE$3,2)&gt;5</formula>
    </cfRule>
  </conditionalFormatting>
  <conditionalFormatting sqref="AH175">
    <cfRule type="expression" priority="625">
      <formula>WEEKDAY(AF$3,2)&gt;5</formula>
    </cfRule>
  </conditionalFormatting>
  <conditionalFormatting sqref="B176">
    <cfRule type="duplicateValues" dxfId="1" priority="15545"/>
  </conditionalFormatting>
  <conditionalFormatting sqref="D176:E176">
    <cfRule type="expression" priority="2626">
      <formula>WEEKDAY(B$3,2)&gt;5</formula>
    </cfRule>
  </conditionalFormatting>
  <conditionalFormatting sqref="F176">
    <cfRule type="expression" priority="2444">
      <formula>WEEKDAY(D$3,2)&gt;5</formula>
    </cfRule>
  </conditionalFormatting>
  <conditionalFormatting sqref="G176">
    <cfRule type="expression" priority="2808">
      <formula>WEEKDAY(E$3,2)&gt;5</formula>
    </cfRule>
  </conditionalFormatting>
  <conditionalFormatting sqref="H176">
    <cfRule type="expression" priority="2262">
      <formula>WEEKDAY(F$3,2)&gt;5</formula>
    </cfRule>
  </conditionalFormatting>
  <conditionalFormatting sqref="I176">
    <cfRule type="expression" priority="2080">
      <formula>WEEKDAY(#REF!,2)&gt;5</formula>
    </cfRule>
  </conditionalFormatting>
  <conditionalFormatting sqref="J176">
    <cfRule type="expression" priority="1898">
      <formula>WEEKDAY(#REF!,2)&gt;5</formula>
    </cfRule>
  </conditionalFormatting>
  <conditionalFormatting sqref="K176">
    <cfRule type="expression" priority="3172">
      <formula>WEEKDAY(#REF!,2)&gt;5</formula>
    </cfRule>
  </conditionalFormatting>
  <conditionalFormatting sqref="M176">
    <cfRule type="expression" priority="1716">
      <formula>WEEKDAY(K$3,2)&gt;5</formula>
    </cfRule>
  </conditionalFormatting>
  <conditionalFormatting sqref="O176:R176">
    <cfRule type="expression" priority="1534">
      <formula>WEEKDAY(#REF!,2)&gt;5</formula>
    </cfRule>
  </conditionalFormatting>
  <conditionalFormatting sqref="S176:T176">
    <cfRule type="expression" priority="1352">
      <formula>WEEKDAY(Q$3,2)&gt;5</formula>
    </cfRule>
  </conditionalFormatting>
  <conditionalFormatting sqref="U176:Y176">
    <cfRule type="expression" priority="1170">
      <formula>WEEKDAY(#REF!,2)&gt;5</formula>
    </cfRule>
  </conditionalFormatting>
  <conditionalFormatting sqref="X176:Y176">
    <cfRule type="expression" priority="2990">
      <formula>WEEKDAY(#REF!,2)&gt;5</formula>
    </cfRule>
  </conditionalFormatting>
  <conditionalFormatting sqref="Z176:AA176">
    <cfRule type="expression" priority="988">
      <formula>WEEKDAY(X$3,2)&gt;5</formula>
    </cfRule>
  </conditionalFormatting>
  <conditionalFormatting sqref="AB176:AF176">
    <cfRule type="expression" priority="806">
      <formula>WEEKDAY(#REF!,2)&gt;5</formula>
    </cfRule>
  </conditionalFormatting>
  <conditionalFormatting sqref="AG176">
    <cfRule type="expression" priority="442">
      <formula>WEEKDAY(AE$3,2)&gt;5</formula>
    </cfRule>
  </conditionalFormatting>
  <conditionalFormatting sqref="AH176">
    <cfRule type="expression" priority="624">
      <formula>WEEKDAY(AF$3,2)&gt;5</formula>
    </cfRule>
  </conditionalFormatting>
  <conditionalFormatting sqref="D177:E177">
    <cfRule type="expression" priority="2625">
      <formula>WEEKDAY(B$3,2)&gt;5</formula>
    </cfRule>
  </conditionalFormatting>
  <conditionalFormatting sqref="F177">
    <cfRule type="expression" priority="2443">
      <formula>WEEKDAY(D$3,2)&gt;5</formula>
    </cfRule>
  </conditionalFormatting>
  <conditionalFormatting sqref="G177">
    <cfRule type="expression" priority="2807">
      <formula>WEEKDAY(E$3,2)&gt;5</formula>
    </cfRule>
  </conditionalFormatting>
  <conditionalFormatting sqref="H177">
    <cfRule type="expression" priority="2261">
      <formula>WEEKDAY(F$3,2)&gt;5</formula>
    </cfRule>
  </conditionalFormatting>
  <conditionalFormatting sqref="I177">
    <cfRule type="expression" priority="2079">
      <formula>WEEKDAY(#REF!,2)&gt;5</formula>
    </cfRule>
  </conditionalFormatting>
  <conditionalFormatting sqref="J177">
    <cfRule type="expression" priority="1897">
      <formula>WEEKDAY(#REF!,2)&gt;5</formula>
    </cfRule>
  </conditionalFormatting>
  <conditionalFormatting sqref="K177">
    <cfRule type="expression" priority="3171">
      <formula>WEEKDAY(#REF!,2)&gt;5</formula>
    </cfRule>
  </conditionalFormatting>
  <conditionalFormatting sqref="L177">
    <cfRule type="expression" priority="3353">
      <formula>WEEKDAY(#REF!,2)&gt;5</formula>
    </cfRule>
  </conditionalFormatting>
  <conditionalFormatting sqref="M177">
    <cfRule type="expression" priority="1715">
      <formula>WEEKDAY(K$3,2)&gt;5</formula>
    </cfRule>
  </conditionalFormatting>
  <conditionalFormatting sqref="N177">
    <cfRule type="expression" priority="213">
      <formula>WEEKDAY(#REF!,2)&gt;5</formula>
    </cfRule>
  </conditionalFormatting>
  <conditionalFormatting sqref="Q177">
    <cfRule type="expression" priority="212">
      <formula>WEEKDAY(#REF!,2)&gt;5</formula>
    </cfRule>
  </conditionalFormatting>
  <conditionalFormatting sqref="S177:T177">
    <cfRule type="expression" priority="1351">
      <formula>WEEKDAY(Q$3,2)&gt;5</formula>
    </cfRule>
  </conditionalFormatting>
  <conditionalFormatting sqref="U177">
    <cfRule type="expression" priority="211">
      <formula>WEEKDAY(#REF!,2)&gt;5</formula>
    </cfRule>
  </conditionalFormatting>
  <conditionalFormatting sqref="V177:Y177">
    <cfRule type="expression" priority="1169">
      <formula>WEEKDAY(#REF!,2)&gt;5</formula>
    </cfRule>
  </conditionalFormatting>
  <conditionalFormatting sqref="X177:Y177">
    <cfRule type="expression" priority="2989">
      <formula>WEEKDAY(#REF!,2)&gt;5</formula>
    </cfRule>
  </conditionalFormatting>
  <conditionalFormatting sqref="Z177:AA177">
    <cfRule type="expression" priority="987">
      <formula>WEEKDAY(X$3,2)&gt;5</formula>
    </cfRule>
  </conditionalFormatting>
  <conditionalFormatting sqref="AB177">
    <cfRule type="expression" priority="210">
      <formula>WEEKDAY(#REF!,2)&gt;5</formula>
    </cfRule>
  </conditionalFormatting>
  <conditionalFormatting sqref="AC177:AF177">
    <cfRule type="expression" priority="805">
      <formula>WEEKDAY(#REF!,2)&gt;5</formula>
    </cfRule>
  </conditionalFormatting>
  <conditionalFormatting sqref="AG177">
    <cfRule type="expression" priority="441">
      <formula>WEEKDAY(AE$3,2)&gt;5</formula>
    </cfRule>
  </conditionalFormatting>
  <conditionalFormatting sqref="AH177">
    <cfRule type="expression" priority="623">
      <formula>WEEKDAY(AF$3,2)&gt;5</formula>
    </cfRule>
  </conditionalFormatting>
  <conditionalFormatting sqref="B178">
    <cfRule type="duplicateValues" dxfId="1" priority="15480"/>
  </conditionalFormatting>
  <conditionalFormatting sqref="D178:E178">
    <cfRule type="expression" priority="2624">
      <formula>WEEKDAY(B$3,2)&gt;5</formula>
    </cfRule>
  </conditionalFormatting>
  <conditionalFormatting sqref="F178">
    <cfRule type="expression" priority="2442">
      <formula>WEEKDAY(D$3,2)&gt;5</formula>
    </cfRule>
  </conditionalFormatting>
  <conditionalFormatting sqref="G178">
    <cfRule type="expression" priority="2806">
      <formula>WEEKDAY(E$3,2)&gt;5</formula>
    </cfRule>
  </conditionalFormatting>
  <conditionalFormatting sqref="H178">
    <cfRule type="expression" priority="2260">
      <formula>WEEKDAY(F$3,2)&gt;5</formula>
    </cfRule>
  </conditionalFormatting>
  <conditionalFormatting sqref="I178">
    <cfRule type="expression" priority="2078">
      <formula>WEEKDAY(#REF!,2)&gt;5</formula>
    </cfRule>
  </conditionalFormatting>
  <conditionalFormatting sqref="J178">
    <cfRule type="expression" priority="1896">
      <formula>WEEKDAY(#REF!,2)&gt;5</formula>
    </cfRule>
  </conditionalFormatting>
  <conditionalFormatting sqref="K178">
    <cfRule type="expression" priority="3170">
      <formula>WEEKDAY(#REF!,2)&gt;5</formula>
    </cfRule>
  </conditionalFormatting>
  <conditionalFormatting sqref="M178">
    <cfRule type="expression" priority="1714">
      <formula>WEEKDAY(K$3,2)&gt;5</formula>
    </cfRule>
  </conditionalFormatting>
  <conditionalFormatting sqref="O178:R178">
    <cfRule type="expression" priority="1532">
      <formula>WEEKDAY(#REF!,2)&gt;5</formula>
    </cfRule>
  </conditionalFormatting>
  <conditionalFormatting sqref="S178:T178">
    <cfRule type="expression" priority="1350">
      <formula>WEEKDAY(Q$3,2)&gt;5</formula>
    </cfRule>
  </conditionalFormatting>
  <conditionalFormatting sqref="U178:Y178">
    <cfRule type="expression" priority="1168">
      <formula>WEEKDAY(#REF!,2)&gt;5</formula>
    </cfRule>
  </conditionalFormatting>
  <conditionalFormatting sqref="X178:Y178">
    <cfRule type="expression" priority="2988">
      <formula>WEEKDAY(#REF!,2)&gt;5</formula>
    </cfRule>
  </conditionalFormatting>
  <conditionalFormatting sqref="Z178:AA178">
    <cfRule type="expression" priority="986">
      <formula>WEEKDAY(X$3,2)&gt;5</formula>
    </cfRule>
  </conditionalFormatting>
  <conditionalFormatting sqref="AE178">
    <cfRule type="expression" priority="178">
      <formula>WEEKDAY(#REF!,2)&gt;5</formula>
    </cfRule>
  </conditionalFormatting>
  <conditionalFormatting sqref="AG178">
    <cfRule type="expression" priority="440">
      <formula>WEEKDAY(AE$3,2)&gt;5</formula>
    </cfRule>
  </conditionalFormatting>
  <conditionalFormatting sqref="AH178">
    <cfRule type="expression" priority="622">
      <formula>WEEKDAY(AF$3,2)&gt;5</formula>
    </cfRule>
  </conditionalFormatting>
  <conditionalFormatting sqref="D179:E179">
    <cfRule type="expression" priority="2623">
      <formula>WEEKDAY(B$3,2)&gt;5</formula>
    </cfRule>
  </conditionalFormatting>
  <conditionalFormatting sqref="F179">
    <cfRule type="expression" priority="2441">
      <formula>WEEKDAY(D$3,2)&gt;5</formula>
    </cfRule>
  </conditionalFormatting>
  <conditionalFormatting sqref="G179">
    <cfRule type="expression" priority="2805">
      <formula>WEEKDAY(E$3,2)&gt;5</formula>
    </cfRule>
  </conditionalFormatting>
  <conditionalFormatting sqref="H179">
    <cfRule type="expression" priority="2259">
      <formula>WEEKDAY(F$3,2)&gt;5</formula>
    </cfRule>
  </conditionalFormatting>
  <conditionalFormatting sqref="I179">
    <cfRule type="expression" priority="2077">
      <formula>WEEKDAY(#REF!,2)&gt;5</formula>
    </cfRule>
  </conditionalFormatting>
  <conditionalFormatting sqref="J179">
    <cfRule type="expression" priority="1895">
      <formula>WEEKDAY(#REF!,2)&gt;5</formula>
    </cfRule>
  </conditionalFormatting>
  <conditionalFormatting sqref="K179">
    <cfRule type="expression" priority="3169">
      <formula>WEEKDAY(#REF!,2)&gt;5</formula>
    </cfRule>
  </conditionalFormatting>
  <conditionalFormatting sqref="M179">
    <cfRule type="expression" priority="1713">
      <formula>WEEKDAY(K$3,2)&gt;5</formula>
    </cfRule>
  </conditionalFormatting>
  <conditionalFormatting sqref="O179:R179">
    <cfRule type="expression" priority="1531">
      <formula>WEEKDAY(#REF!,2)&gt;5</formula>
    </cfRule>
  </conditionalFormatting>
  <conditionalFormatting sqref="S179:T179">
    <cfRule type="expression" priority="1349">
      <formula>WEEKDAY(Q$3,2)&gt;5</formula>
    </cfRule>
  </conditionalFormatting>
  <conditionalFormatting sqref="U179:Y179">
    <cfRule type="expression" priority="1167">
      <formula>WEEKDAY(#REF!,2)&gt;5</formula>
    </cfRule>
  </conditionalFormatting>
  <conditionalFormatting sqref="X179:Y179">
    <cfRule type="expression" priority="2987">
      <formula>WEEKDAY(#REF!,2)&gt;5</formula>
    </cfRule>
  </conditionalFormatting>
  <conditionalFormatting sqref="Z179:AA179">
    <cfRule type="expression" priority="985">
      <formula>WEEKDAY(X$3,2)&gt;5</formula>
    </cfRule>
  </conditionalFormatting>
  <conditionalFormatting sqref="AB179:AE179">
    <cfRule type="expression" priority="803">
      <formula>WEEKDAY(#REF!,2)&gt;5</formula>
    </cfRule>
  </conditionalFormatting>
  <conditionalFormatting sqref="AF179">
    <cfRule type="expression" priority="26">
      <formula>WEEKDAY(#REF!,2)&gt;5</formula>
    </cfRule>
  </conditionalFormatting>
  <conditionalFormatting sqref="AG179">
    <cfRule type="expression" priority="439">
      <formula>WEEKDAY(AE$3,2)&gt;5</formula>
    </cfRule>
  </conditionalFormatting>
  <conditionalFormatting sqref="AH179">
    <cfRule type="expression" priority="621">
      <formula>WEEKDAY(AF$3,2)&gt;5</formula>
    </cfRule>
  </conditionalFormatting>
  <conditionalFormatting sqref="B180">
    <cfRule type="duplicateValues" dxfId="1" priority="15420"/>
  </conditionalFormatting>
  <conditionalFormatting sqref="D180:E180">
    <cfRule type="expression" priority="2622">
      <formula>WEEKDAY(B$3,2)&gt;5</formula>
    </cfRule>
  </conditionalFormatting>
  <conditionalFormatting sqref="F180">
    <cfRule type="expression" priority="2440">
      <formula>WEEKDAY(D$3,2)&gt;5</formula>
    </cfRule>
  </conditionalFormatting>
  <conditionalFormatting sqref="G180">
    <cfRule type="expression" priority="2804">
      <formula>WEEKDAY(E$3,2)&gt;5</formula>
    </cfRule>
  </conditionalFormatting>
  <conditionalFormatting sqref="H180">
    <cfRule type="expression" priority="2258">
      <formula>WEEKDAY(F$3,2)&gt;5</formula>
    </cfRule>
  </conditionalFormatting>
  <conditionalFormatting sqref="I180">
    <cfRule type="expression" priority="2076">
      <formula>WEEKDAY(#REF!,2)&gt;5</formula>
    </cfRule>
  </conditionalFormatting>
  <conditionalFormatting sqref="J180">
    <cfRule type="expression" priority="1894">
      <formula>WEEKDAY(#REF!,2)&gt;5</formula>
    </cfRule>
  </conditionalFormatting>
  <conditionalFormatting sqref="K180">
    <cfRule type="expression" priority="3168">
      <formula>WEEKDAY(#REF!,2)&gt;5</formula>
    </cfRule>
  </conditionalFormatting>
  <conditionalFormatting sqref="M180">
    <cfRule type="expression" priority="1712">
      <formula>WEEKDAY(K$3,2)&gt;5</formula>
    </cfRule>
  </conditionalFormatting>
  <conditionalFormatting sqref="O180:R180">
    <cfRule type="expression" priority="1530">
      <formula>WEEKDAY(#REF!,2)&gt;5</formula>
    </cfRule>
  </conditionalFormatting>
  <conditionalFormatting sqref="S180:T180">
    <cfRule type="expression" priority="1348">
      <formula>WEEKDAY(Q$3,2)&gt;5</formula>
    </cfRule>
  </conditionalFormatting>
  <conditionalFormatting sqref="U180:Y180">
    <cfRule type="expression" priority="1166">
      <formula>WEEKDAY(#REF!,2)&gt;5</formula>
    </cfRule>
  </conditionalFormatting>
  <conditionalFormatting sqref="X180:Y180">
    <cfRule type="expression" priority="2986">
      <formula>WEEKDAY(#REF!,2)&gt;5</formula>
    </cfRule>
  </conditionalFormatting>
  <conditionalFormatting sqref="Z180:AA180">
    <cfRule type="expression" priority="984">
      <formula>WEEKDAY(X$3,2)&gt;5</formula>
    </cfRule>
  </conditionalFormatting>
  <conditionalFormatting sqref="AB180:AF180">
    <cfRule type="expression" priority="802">
      <formula>WEEKDAY(#REF!,2)&gt;5</formula>
    </cfRule>
  </conditionalFormatting>
  <conditionalFormatting sqref="AG180">
    <cfRule type="expression" priority="438">
      <formula>WEEKDAY(AE$3,2)&gt;5</formula>
    </cfRule>
  </conditionalFormatting>
  <conditionalFormatting sqref="AH180">
    <cfRule type="expression" priority="620">
      <formula>WEEKDAY(AF$3,2)&gt;5</formula>
    </cfRule>
  </conditionalFormatting>
  <conditionalFormatting sqref="D181:E181">
    <cfRule type="expression" priority="2621">
      <formula>WEEKDAY(B$3,2)&gt;5</formula>
    </cfRule>
  </conditionalFormatting>
  <conditionalFormatting sqref="F181">
    <cfRule type="expression" priority="2439">
      <formula>WEEKDAY(D$3,2)&gt;5</formula>
    </cfRule>
  </conditionalFormatting>
  <conditionalFormatting sqref="G181">
    <cfRule type="expression" priority="2803">
      <formula>WEEKDAY(E$3,2)&gt;5</formula>
    </cfRule>
  </conditionalFormatting>
  <conditionalFormatting sqref="H181">
    <cfRule type="expression" priority="2257">
      <formula>WEEKDAY(F$3,2)&gt;5</formula>
    </cfRule>
  </conditionalFormatting>
  <conditionalFormatting sqref="I181">
    <cfRule type="expression" priority="2075">
      <formula>WEEKDAY(#REF!,2)&gt;5</formula>
    </cfRule>
  </conditionalFormatting>
  <conditionalFormatting sqref="J181">
    <cfRule type="expression" priority="1893">
      <formula>WEEKDAY(#REF!,2)&gt;5</formula>
    </cfRule>
  </conditionalFormatting>
  <conditionalFormatting sqref="K181">
    <cfRule type="expression" priority="3167">
      <formula>WEEKDAY(#REF!,2)&gt;5</formula>
    </cfRule>
  </conditionalFormatting>
  <conditionalFormatting sqref="M181">
    <cfRule type="expression" priority="1711">
      <formula>WEEKDAY(K$3,2)&gt;5</formula>
    </cfRule>
  </conditionalFormatting>
  <conditionalFormatting sqref="O181:R181">
    <cfRule type="expression" priority="1529">
      <formula>WEEKDAY(#REF!,2)&gt;5</formula>
    </cfRule>
  </conditionalFormatting>
  <conditionalFormatting sqref="S181:T181">
    <cfRule type="expression" priority="1347">
      <formula>WEEKDAY(Q$3,2)&gt;5</formula>
    </cfRule>
  </conditionalFormatting>
  <conditionalFormatting sqref="V181">
    <cfRule type="expression" priority="28">
      <formula>WEEKDAY(#REF!,2)&gt;5</formula>
    </cfRule>
  </conditionalFormatting>
  <conditionalFormatting sqref="X181:Y181">
    <cfRule type="expression" priority="2985">
      <formula>WEEKDAY(#REF!,2)&gt;5</formula>
    </cfRule>
  </conditionalFormatting>
  <conditionalFormatting sqref="Z181:AA181">
    <cfRule type="expression" priority="983">
      <formula>WEEKDAY(X$3,2)&gt;5</formula>
    </cfRule>
  </conditionalFormatting>
  <conditionalFormatting sqref="AB181:AE181">
    <cfRule type="expression" priority="801">
      <formula>WEEKDAY(#REF!,2)&gt;5</formula>
    </cfRule>
  </conditionalFormatting>
  <conditionalFormatting sqref="AF181">
    <cfRule type="expression" priority="27">
      <formula>WEEKDAY(#REF!,2)&gt;5</formula>
    </cfRule>
  </conditionalFormatting>
  <conditionalFormatting sqref="AG181">
    <cfRule type="expression" priority="437">
      <formula>WEEKDAY(AE$3,2)&gt;5</formula>
    </cfRule>
  </conditionalFormatting>
  <conditionalFormatting sqref="AH181">
    <cfRule type="expression" priority="619">
      <formula>WEEKDAY(AF$3,2)&gt;5</formula>
    </cfRule>
  </conditionalFormatting>
  <conditionalFormatting sqref="D182:E182">
    <cfRule type="expression" priority="2620">
      <formula>WEEKDAY(B$3,2)&gt;5</formula>
    </cfRule>
  </conditionalFormatting>
  <conditionalFormatting sqref="F182">
    <cfRule type="expression" priority="2438">
      <formula>WEEKDAY(D$3,2)&gt;5</formula>
    </cfRule>
  </conditionalFormatting>
  <conditionalFormatting sqref="G182">
    <cfRule type="expression" priority="2802">
      <formula>WEEKDAY(E$3,2)&gt;5</formula>
    </cfRule>
  </conditionalFormatting>
  <conditionalFormatting sqref="H182">
    <cfRule type="expression" priority="2256">
      <formula>WEEKDAY(F$3,2)&gt;5</formula>
    </cfRule>
  </conditionalFormatting>
  <conditionalFormatting sqref="I182">
    <cfRule type="expression" priority="25">
      <formula>WEEKDAY(#REF!,2)&gt;5</formula>
    </cfRule>
  </conditionalFormatting>
  <conditionalFormatting sqref="J182">
    <cfRule type="expression" priority="1892">
      <formula>WEEKDAY(#REF!,2)&gt;5</formula>
    </cfRule>
  </conditionalFormatting>
  <conditionalFormatting sqref="K182">
    <cfRule type="expression" priority="24">
      <formula>WEEKDAY(#REF!,2)&gt;5</formula>
    </cfRule>
  </conditionalFormatting>
  <conditionalFormatting sqref="M182">
    <cfRule type="expression" priority="1710">
      <formula>WEEKDAY(K$3,2)&gt;5</formula>
    </cfRule>
  </conditionalFormatting>
  <conditionalFormatting sqref="P182">
    <cfRule type="expression" priority="23">
      <formula>WEEKDAY(#REF!,2)&gt;5</formula>
    </cfRule>
  </conditionalFormatting>
  <conditionalFormatting sqref="S182:T182">
    <cfRule type="expression" priority="1346">
      <formula>WEEKDAY(Q$3,2)&gt;5</formula>
    </cfRule>
  </conditionalFormatting>
  <conditionalFormatting sqref="U182:Y182">
    <cfRule type="expression" priority="1164">
      <formula>WEEKDAY(#REF!,2)&gt;5</formula>
    </cfRule>
  </conditionalFormatting>
  <conditionalFormatting sqref="X182:Y182">
    <cfRule type="expression" priority="2984">
      <formula>WEEKDAY(#REF!,2)&gt;5</formula>
    </cfRule>
  </conditionalFormatting>
  <conditionalFormatting sqref="Z182:AA182">
    <cfRule type="expression" priority="982">
      <formula>WEEKDAY(X$3,2)&gt;5</formula>
    </cfRule>
  </conditionalFormatting>
  <conditionalFormatting sqref="AB182:AD182">
    <cfRule type="expression" priority="800">
      <formula>WEEKDAY(#REF!,2)&gt;5</formula>
    </cfRule>
  </conditionalFormatting>
  <conditionalFormatting sqref="AE182">
    <cfRule type="expression" priority="22">
      <formula>WEEKDAY(#REF!,2)&gt;5</formula>
    </cfRule>
  </conditionalFormatting>
  <conditionalFormatting sqref="AF182">
    <cfRule type="expression" priority="21">
      <formula>WEEKDAY(#REF!,2)&gt;5</formula>
    </cfRule>
  </conditionalFormatting>
  <conditionalFormatting sqref="AG182">
    <cfRule type="expression" priority="436">
      <formula>WEEKDAY(AE$3,2)&gt;5</formula>
    </cfRule>
  </conditionalFormatting>
  <conditionalFormatting sqref="AH182">
    <cfRule type="expression" priority="618">
      <formula>WEEKDAY(AF$3,2)&gt;5</formula>
    </cfRule>
  </conditionalFormatting>
  <conditionalFormatting sqref="D183:E183">
    <cfRule type="expression" priority="50">
      <formula>WEEKDAY(B$3,2)&gt;5</formula>
    </cfRule>
  </conditionalFormatting>
  <conditionalFormatting sqref="F183">
    <cfRule type="expression" priority="49">
      <formula>WEEKDAY(D$3,2)&gt;5</formula>
    </cfRule>
  </conditionalFormatting>
  <conditionalFormatting sqref="G183">
    <cfRule type="expression" priority="51">
      <formula>WEEKDAY(E$3,2)&gt;5</formula>
    </cfRule>
  </conditionalFormatting>
  <conditionalFormatting sqref="H183">
    <cfRule type="expression" priority="48">
      <formula>WEEKDAY(F$3,2)&gt;5</formula>
    </cfRule>
  </conditionalFormatting>
  <conditionalFormatting sqref="I183:J183">
    <cfRule type="expression" priority="47">
      <formula>WEEKDAY(#REF!,2)&gt;5</formula>
    </cfRule>
  </conditionalFormatting>
  <conditionalFormatting sqref="K183">
    <cfRule type="expression" priority="36">
      <formula>WEEKDAY(#REF!,2)&gt;5</formula>
    </cfRule>
  </conditionalFormatting>
  <conditionalFormatting sqref="L183">
    <cfRule type="expression" priority="45">
      <formula>WEEKDAY(#REF!,2)&gt;5</formula>
    </cfRule>
  </conditionalFormatting>
  <conditionalFormatting sqref="M183">
    <cfRule type="expression" priority="44">
      <formula>WEEKDAY(K$3,2)&gt;5</formula>
    </cfRule>
  </conditionalFormatting>
  <conditionalFormatting sqref="N183">
    <cfRule type="expression" priority="35">
      <formula>WEEKDAY(#REF!,2)&gt;5</formula>
    </cfRule>
  </conditionalFormatting>
  <conditionalFormatting sqref="O183:R183">
    <cfRule type="expression" priority="43">
      <formula>WEEKDAY(#REF!,2)&gt;5</formula>
    </cfRule>
  </conditionalFormatting>
  <conditionalFormatting sqref="S183:T183">
    <cfRule type="expression" priority="42">
      <formula>WEEKDAY(Q$3,2)&gt;5</formula>
    </cfRule>
  </conditionalFormatting>
  <conditionalFormatting sqref="U183:W183">
    <cfRule type="expression" priority="41">
      <formula>WEEKDAY(#REF!,2)&gt;5</formula>
    </cfRule>
  </conditionalFormatting>
  <conditionalFormatting sqref="X183">
    <cfRule type="expression" priority="40">
      <formula>WEEKDAY(#REF!,2)&gt;5</formula>
    </cfRule>
  </conditionalFormatting>
  <conditionalFormatting sqref="Y183">
    <cfRule type="expression" priority="34">
      <formula>WEEKDAY(#REF!,2)&gt;5</formula>
    </cfRule>
  </conditionalFormatting>
  <conditionalFormatting sqref="Z183:AA183">
    <cfRule type="expression" priority="39">
      <formula>WEEKDAY(X$3,2)&gt;5</formula>
    </cfRule>
  </conditionalFormatting>
  <conditionalFormatting sqref="AB183">
    <cfRule type="expression" priority="38">
      <formula>WEEKDAY(#REF!,2)&gt;5</formula>
    </cfRule>
  </conditionalFormatting>
  <conditionalFormatting sqref="AC183">
    <cfRule type="expression" priority="37">
      <formula>WEEKDAY(#REF!,2)&gt;5</formula>
    </cfRule>
  </conditionalFormatting>
  <conditionalFormatting sqref="AD183">
    <cfRule type="expression" priority="33">
      <formula>WEEKDAY(#REF!,2)&gt;5</formula>
    </cfRule>
  </conditionalFormatting>
  <conditionalFormatting sqref="AE183">
    <cfRule type="expression" priority="32">
      <formula>WEEKDAY(#REF!,2)&gt;5</formula>
    </cfRule>
  </conditionalFormatting>
  <conditionalFormatting sqref="AF183">
    <cfRule type="expression" priority="31">
      <formula>WEEKDAY(#REF!,2)&gt;5</formula>
    </cfRule>
  </conditionalFormatting>
  <conditionalFormatting sqref="AG183:AH183">
    <cfRule type="expression" priority="46">
      <formula>WEEKDAY(#REF!,2)&gt;5</formula>
    </cfRule>
  </conditionalFormatting>
  <conditionalFormatting sqref="D184:E184">
    <cfRule type="expression" priority="2618">
      <formula>WEEKDAY(B$3,2)&gt;5</formula>
    </cfRule>
  </conditionalFormatting>
  <conditionalFormatting sqref="F184">
    <cfRule type="expression" priority="2436">
      <formula>WEEKDAY(D$3,2)&gt;5</formula>
    </cfRule>
  </conditionalFormatting>
  <conditionalFormatting sqref="G184">
    <cfRule type="expression" priority="2800">
      <formula>WEEKDAY(E$3,2)&gt;5</formula>
    </cfRule>
  </conditionalFormatting>
  <conditionalFormatting sqref="H184">
    <cfRule type="expression" priority="2254">
      <formula>WEEKDAY(F$3,2)&gt;5</formula>
    </cfRule>
  </conditionalFormatting>
  <conditionalFormatting sqref="I184">
    <cfRule type="expression" priority="2072">
      <formula>WEEKDAY(#REF!,2)&gt;5</formula>
    </cfRule>
  </conditionalFormatting>
  <conditionalFormatting sqref="J184">
    <cfRule type="expression" priority="1890">
      <formula>WEEKDAY(#REF!,2)&gt;5</formula>
    </cfRule>
  </conditionalFormatting>
  <conditionalFormatting sqref="K184">
    <cfRule type="expression" priority="3164">
      <formula>WEEKDAY(#REF!,2)&gt;5</formula>
    </cfRule>
  </conditionalFormatting>
  <conditionalFormatting sqref="M184">
    <cfRule type="expression" priority="1708">
      <formula>WEEKDAY(K$3,2)&gt;5</formula>
    </cfRule>
  </conditionalFormatting>
  <conditionalFormatting sqref="O184:R184">
    <cfRule type="expression" priority="1526">
      <formula>WEEKDAY(#REF!,2)&gt;5</formula>
    </cfRule>
  </conditionalFormatting>
  <conditionalFormatting sqref="S184:T184">
    <cfRule type="expression" priority="1344">
      <formula>WEEKDAY(Q$3,2)&gt;5</formula>
    </cfRule>
  </conditionalFormatting>
  <conditionalFormatting sqref="U184:Y184">
    <cfRule type="expression" priority="1162">
      <formula>WEEKDAY(#REF!,2)&gt;5</formula>
    </cfRule>
  </conditionalFormatting>
  <conditionalFormatting sqref="X184:Y184">
    <cfRule type="expression" priority="2982">
      <formula>WEEKDAY(#REF!,2)&gt;5</formula>
    </cfRule>
  </conditionalFormatting>
  <conditionalFormatting sqref="Z184:AA184">
    <cfRule type="expression" priority="980">
      <formula>WEEKDAY(X$3,2)&gt;5</formula>
    </cfRule>
  </conditionalFormatting>
  <conditionalFormatting sqref="AB184:AF184">
    <cfRule type="expression" priority="798">
      <formula>WEEKDAY(#REF!,2)&gt;5</formula>
    </cfRule>
  </conditionalFormatting>
  <conditionalFormatting sqref="AG184">
    <cfRule type="expression" priority="434">
      <formula>WEEKDAY(AE$3,2)&gt;5</formula>
    </cfRule>
  </conditionalFormatting>
  <conditionalFormatting sqref="AH184">
    <cfRule type="expression" priority="616">
      <formula>WEEKDAY(AF$3,2)&gt;5</formula>
    </cfRule>
  </conditionalFormatting>
  <conditionalFormatting sqref="D185:E185">
    <cfRule type="expression" priority="2617">
      <formula>WEEKDAY(B$3,2)&gt;5</formula>
    </cfRule>
  </conditionalFormatting>
  <conditionalFormatting sqref="F185">
    <cfRule type="expression" priority="2435">
      <formula>WEEKDAY(D$3,2)&gt;5</formula>
    </cfRule>
  </conditionalFormatting>
  <conditionalFormatting sqref="G185">
    <cfRule type="expression" priority="2799">
      <formula>WEEKDAY(E$3,2)&gt;5</formula>
    </cfRule>
  </conditionalFormatting>
  <conditionalFormatting sqref="H185">
    <cfRule type="expression" priority="2253">
      <formula>WEEKDAY(F$3,2)&gt;5</formula>
    </cfRule>
  </conditionalFormatting>
  <conditionalFormatting sqref="I185">
    <cfRule type="expression" priority="2071">
      <formula>WEEKDAY(#REF!,2)&gt;5</formula>
    </cfRule>
  </conditionalFormatting>
  <conditionalFormatting sqref="J185">
    <cfRule type="expression" priority="1889">
      <formula>WEEKDAY(#REF!,2)&gt;5</formula>
    </cfRule>
  </conditionalFormatting>
  <conditionalFormatting sqref="K185">
    <cfRule type="expression" priority="3163">
      <formula>WEEKDAY(#REF!,2)&gt;5</formula>
    </cfRule>
  </conditionalFormatting>
  <conditionalFormatting sqref="L185">
    <cfRule type="expression" priority="412">
      <formula>WEEKDAY(#REF!,2)&gt;5</formula>
    </cfRule>
  </conditionalFormatting>
  <conditionalFormatting sqref="M185">
    <cfRule type="expression" priority="1707">
      <formula>WEEKDAY(K$3,2)&gt;5</formula>
    </cfRule>
  </conditionalFormatting>
  <conditionalFormatting sqref="N185">
    <cfRule type="expression" priority="3345">
      <formula>WEEKDAY(#REF!,2)&gt;5</formula>
    </cfRule>
  </conditionalFormatting>
  <conditionalFormatting sqref="O185:R185">
    <cfRule type="expression" priority="1525">
      <formula>WEEKDAY(#REF!,2)&gt;5</formula>
    </cfRule>
  </conditionalFormatting>
  <conditionalFormatting sqref="S185:T185">
    <cfRule type="expression" priority="1343">
      <formula>WEEKDAY(Q$3,2)&gt;5</formula>
    </cfRule>
  </conditionalFormatting>
  <conditionalFormatting sqref="U185:X185">
    <cfRule type="expression" priority="1161">
      <formula>WEEKDAY(#REF!,2)&gt;5</formula>
    </cfRule>
  </conditionalFormatting>
  <conditionalFormatting sqref="X185">
    <cfRule type="expression" priority="2981">
      <formula>WEEKDAY(#REF!,2)&gt;5</formula>
    </cfRule>
  </conditionalFormatting>
  <conditionalFormatting sqref="Y185">
    <cfRule type="expression" priority="411">
      <formula>WEEKDAY(#REF!,2)&gt;5</formula>
    </cfRule>
  </conditionalFormatting>
  <conditionalFormatting sqref="Z185:AA185">
    <cfRule type="expression" priority="979">
      <formula>WEEKDAY(X$3,2)&gt;5</formula>
    </cfRule>
  </conditionalFormatting>
  <conditionalFormatting sqref="AB185:AF185">
    <cfRule type="expression" priority="797">
      <formula>WEEKDAY(#REF!,2)&gt;5</formula>
    </cfRule>
  </conditionalFormatting>
  <conditionalFormatting sqref="AG185">
    <cfRule type="expression" priority="433">
      <formula>WEEKDAY(AE$3,2)&gt;5</formula>
    </cfRule>
  </conditionalFormatting>
  <conditionalFormatting sqref="AH185">
    <cfRule type="expression" priority="615">
      <formula>WEEKDAY(AF$3,2)&gt;5</formula>
    </cfRule>
  </conditionalFormatting>
  <conditionalFormatting sqref="B186">
    <cfRule type="duplicateValues" dxfId="1" priority="15537"/>
  </conditionalFormatting>
  <conditionalFormatting sqref="D186:E186">
    <cfRule type="expression" priority="2616">
      <formula>WEEKDAY(B$3,2)&gt;5</formula>
    </cfRule>
  </conditionalFormatting>
  <conditionalFormatting sqref="F186">
    <cfRule type="expression" priority="2434">
      <formula>WEEKDAY(D$3,2)&gt;5</formula>
    </cfRule>
  </conditionalFormatting>
  <conditionalFormatting sqref="G186">
    <cfRule type="expression" priority="2798">
      <formula>WEEKDAY(E$3,2)&gt;5</formula>
    </cfRule>
  </conditionalFormatting>
  <conditionalFormatting sqref="H186">
    <cfRule type="expression" priority="2252">
      <formula>WEEKDAY(F$3,2)&gt;5</formula>
    </cfRule>
  </conditionalFormatting>
  <conditionalFormatting sqref="I186">
    <cfRule type="expression" priority="2070">
      <formula>WEEKDAY(#REF!,2)&gt;5</formula>
    </cfRule>
  </conditionalFormatting>
  <conditionalFormatting sqref="J186">
    <cfRule type="expression" priority="1888">
      <formula>WEEKDAY(#REF!,2)&gt;5</formula>
    </cfRule>
  </conditionalFormatting>
  <conditionalFormatting sqref="K186">
    <cfRule type="expression" priority="3162">
      <formula>WEEKDAY(#REF!,2)&gt;5</formula>
    </cfRule>
  </conditionalFormatting>
  <conditionalFormatting sqref="M186">
    <cfRule type="expression" priority="1706">
      <formula>WEEKDAY(K$3,2)&gt;5</formula>
    </cfRule>
  </conditionalFormatting>
  <conditionalFormatting sqref="O186:R186">
    <cfRule type="expression" priority="1524">
      <formula>WEEKDAY(#REF!,2)&gt;5</formula>
    </cfRule>
  </conditionalFormatting>
  <conditionalFormatting sqref="S186:T186">
    <cfRule type="expression" priority="1342">
      <formula>WEEKDAY(Q$3,2)&gt;5</formula>
    </cfRule>
  </conditionalFormatting>
  <conditionalFormatting sqref="U186">
    <cfRule type="expression" priority="413">
      <formula>WEEKDAY(Q$3,2)&gt;5</formula>
    </cfRule>
  </conditionalFormatting>
  <conditionalFormatting sqref="V186:Y186">
    <cfRule type="expression" priority="1160">
      <formula>WEEKDAY(#REF!,2)&gt;5</formula>
    </cfRule>
  </conditionalFormatting>
  <conditionalFormatting sqref="X186:Y186">
    <cfRule type="expression" priority="2980">
      <formula>WEEKDAY(#REF!,2)&gt;5</formula>
    </cfRule>
  </conditionalFormatting>
  <conditionalFormatting sqref="Z186:AA186">
    <cfRule type="expression" priority="978">
      <formula>WEEKDAY(X$3,2)&gt;5</formula>
    </cfRule>
  </conditionalFormatting>
  <conditionalFormatting sqref="AB186:AF186">
    <cfRule type="expression" priority="796">
      <formula>WEEKDAY(#REF!,2)&gt;5</formula>
    </cfRule>
  </conditionalFormatting>
  <conditionalFormatting sqref="AG186">
    <cfRule type="expression" priority="432">
      <formula>WEEKDAY(AE$3,2)&gt;5</formula>
    </cfRule>
  </conditionalFormatting>
  <conditionalFormatting sqref="AH186">
    <cfRule type="expression" priority="614">
      <formula>WEEKDAY(AF$3,2)&gt;5</formula>
    </cfRule>
  </conditionalFormatting>
  <conditionalFormatting sqref="D187:E187">
    <cfRule type="expression" priority="2615">
      <formula>WEEKDAY(B$3,2)&gt;5</formula>
    </cfRule>
  </conditionalFormatting>
  <conditionalFormatting sqref="F187">
    <cfRule type="expression" priority="2433">
      <formula>WEEKDAY(D$3,2)&gt;5</formula>
    </cfRule>
  </conditionalFormatting>
  <conditionalFormatting sqref="G187">
    <cfRule type="expression" priority="2797">
      <formula>WEEKDAY(E$3,2)&gt;5</formula>
    </cfRule>
  </conditionalFormatting>
  <conditionalFormatting sqref="H187">
    <cfRule type="expression" priority="2251">
      <formula>WEEKDAY(F$3,2)&gt;5</formula>
    </cfRule>
  </conditionalFormatting>
  <conditionalFormatting sqref="I187">
    <cfRule type="expression" priority="226">
      <formula>WEEKDAY(E$3,2)&gt;5</formula>
    </cfRule>
  </conditionalFormatting>
  <conditionalFormatting sqref="J187">
    <cfRule type="expression" priority="1887">
      <formula>WEEKDAY(#REF!,2)&gt;5</formula>
    </cfRule>
  </conditionalFormatting>
  <conditionalFormatting sqref="K187">
    <cfRule type="expression" priority="3161">
      <formula>WEEKDAY(#REF!,2)&gt;5</formula>
    </cfRule>
  </conditionalFormatting>
  <conditionalFormatting sqref="M187">
    <cfRule type="expression" priority="1705">
      <formula>WEEKDAY(K$3,2)&gt;5</formula>
    </cfRule>
  </conditionalFormatting>
  <conditionalFormatting sqref="O187:R187">
    <cfRule type="expression" priority="1523">
      <formula>WEEKDAY(#REF!,2)&gt;5</formula>
    </cfRule>
  </conditionalFormatting>
  <conditionalFormatting sqref="S187:T187">
    <cfRule type="expression" priority="1341">
      <formula>WEEKDAY(Q$3,2)&gt;5</formula>
    </cfRule>
  </conditionalFormatting>
  <conditionalFormatting sqref="U187:Y187">
    <cfRule type="expression" priority="1159">
      <formula>WEEKDAY(#REF!,2)&gt;5</formula>
    </cfRule>
  </conditionalFormatting>
  <conditionalFormatting sqref="X187:Y187">
    <cfRule type="expression" priority="2979">
      <formula>WEEKDAY(#REF!,2)&gt;5</formula>
    </cfRule>
  </conditionalFormatting>
  <conditionalFormatting sqref="Z187:AA187">
    <cfRule type="expression" priority="977">
      <formula>WEEKDAY(X$3,2)&gt;5</formula>
    </cfRule>
  </conditionalFormatting>
  <conditionalFormatting sqref="AE187">
    <cfRule type="expression" priority="225">
      <formula>WEEKDAY(AA$3,2)&gt;5</formula>
    </cfRule>
  </conditionalFormatting>
  <conditionalFormatting sqref="AG187">
    <cfRule type="expression" priority="431">
      <formula>WEEKDAY(AE$3,2)&gt;5</formula>
    </cfRule>
  </conditionalFormatting>
  <conditionalFormatting sqref="AH187">
    <cfRule type="expression" priority="613">
      <formula>WEEKDAY(AF$3,2)&gt;5</formula>
    </cfRule>
  </conditionalFormatting>
  <conditionalFormatting sqref="D188:E188">
    <cfRule type="expression" priority="2614">
      <formula>WEEKDAY(B$3,2)&gt;5</formula>
    </cfRule>
  </conditionalFormatting>
  <conditionalFormatting sqref="F188">
    <cfRule type="expression" priority="2432">
      <formula>WEEKDAY(D$3,2)&gt;5</formula>
    </cfRule>
  </conditionalFormatting>
  <conditionalFormatting sqref="G188">
    <cfRule type="expression" priority="2796">
      <formula>WEEKDAY(E$3,2)&gt;5</formula>
    </cfRule>
  </conditionalFormatting>
  <conditionalFormatting sqref="H188">
    <cfRule type="expression" priority="2250">
      <formula>WEEKDAY(F$3,2)&gt;5</formula>
    </cfRule>
  </conditionalFormatting>
  <conditionalFormatting sqref="I188">
    <cfRule type="expression" priority="2068">
      <formula>WEEKDAY(#REF!,2)&gt;5</formula>
    </cfRule>
  </conditionalFormatting>
  <conditionalFormatting sqref="J188">
    <cfRule type="expression" priority="1886">
      <formula>WEEKDAY(#REF!,2)&gt;5</formula>
    </cfRule>
  </conditionalFormatting>
  <conditionalFormatting sqref="K188">
    <cfRule type="expression" priority="3160">
      <formula>WEEKDAY(#REF!,2)&gt;5</formula>
    </cfRule>
  </conditionalFormatting>
  <conditionalFormatting sqref="M188">
    <cfRule type="expression" priority="1704">
      <formula>WEEKDAY(K$3,2)&gt;5</formula>
    </cfRule>
  </conditionalFormatting>
  <conditionalFormatting sqref="O188:R188">
    <cfRule type="expression" priority="1522">
      <formula>WEEKDAY(#REF!,2)&gt;5</formula>
    </cfRule>
  </conditionalFormatting>
  <conditionalFormatting sqref="S188:T188">
    <cfRule type="expression" priority="1340">
      <formula>WEEKDAY(Q$3,2)&gt;5</formula>
    </cfRule>
  </conditionalFormatting>
  <conditionalFormatting sqref="U188:Y188">
    <cfRule type="expression" priority="1158">
      <formula>WEEKDAY(#REF!,2)&gt;5</formula>
    </cfRule>
  </conditionalFormatting>
  <conditionalFormatting sqref="X188:Y188">
    <cfRule type="expression" priority="2978">
      <formula>WEEKDAY(#REF!,2)&gt;5</formula>
    </cfRule>
  </conditionalFormatting>
  <conditionalFormatting sqref="Z188:AA188">
    <cfRule type="expression" priority="976">
      <formula>WEEKDAY(X$3,2)&gt;5</formula>
    </cfRule>
  </conditionalFormatting>
  <conditionalFormatting sqref="AB188:AF188">
    <cfRule type="expression" priority="794">
      <formula>WEEKDAY(#REF!,2)&gt;5</formula>
    </cfRule>
  </conditionalFormatting>
  <conditionalFormatting sqref="AG188">
    <cfRule type="expression" priority="430">
      <formula>WEEKDAY(AE$3,2)&gt;5</formula>
    </cfRule>
  </conditionalFormatting>
  <conditionalFormatting sqref="AH188">
    <cfRule type="expression" priority="612">
      <formula>WEEKDAY(AF$3,2)&gt;5</formula>
    </cfRule>
  </conditionalFormatting>
  <conditionalFormatting sqref="B189">
    <cfRule type="duplicateValues" dxfId="1" priority="15422"/>
  </conditionalFormatting>
  <conditionalFormatting sqref="D189:E189">
    <cfRule type="expression" priority="2613">
      <formula>WEEKDAY(B$3,2)&gt;5</formula>
    </cfRule>
  </conditionalFormatting>
  <conditionalFormatting sqref="F189">
    <cfRule type="expression" priority="2431">
      <formula>WEEKDAY(D$3,2)&gt;5</formula>
    </cfRule>
  </conditionalFormatting>
  <conditionalFormatting sqref="G189">
    <cfRule type="expression" priority="2795">
      <formula>WEEKDAY(E$3,2)&gt;5</formula>
    </cfRule>
  </conditionalFormatting>
  <conditionalFormatting sqref="H189">
    <cfRule type="expression" priority="2249">
      <formula>WEEKDAY(F$3,2)&gt;5</formula>
    </cfRule>
  </conditionalFormatting>
  <conditionalFormatting sqref="I189">
    <cfRule type="expression" priority="2067">
      <formula>WEEKDAY(#REF!,2)&gt;5</formula>
    </cfRule>
  </conditionalFormatting>
  <conditionalFormatting sqref="J189">
    <cfRule type="expression" priority="1885">
      <formula>WEEKDAY(#REF!,2)&gt;5</formula>
    </cfRule>
  </conditionalFormatting>
  <conditionalFormatting sqref="K189">
    <cfRule type="expression" priority="3159">
      <formula>WEEKDAY(#REF!,2)&gt;5</formula>
    </cfRule>
  </conditionalFormatting>
  <conditionalFormatting sqref="M189">
    <cfRule type="expression" priority="1703">
      <formula>WEEKDAY(K$3,2)&gt;5</formula>
    </cfRule>
  </conditionalFormatting>
  <conditionalFormatting sqref="O189:R189">
    <cfRule type="expression" priority="1521">
      <formula>WEEKDAY(#REF!,2)&gt;5</formula>
    </cfRule>
  </conditionalFormatting>
  <conditionalFormatting sqref="S189:T189">
    <cfRule type="expression" priority="1339">
      <formula>WEEKDAY(Q$3,2)&gt;5</formula>
    </cfRule>
  </conditionalFormatting>
  <conditionalFormatting sqref="U189:Y189">
    <cfRule type="expression" priority="1157">
      <formula>WEEKDAY(#REF!,2)&gt;5</formula>
    </cfRule>
  </conditionalFormatting>
  <conditionalFormatting sqref="X189:Y189">
    <cfRule type="expression" priority="2977">
      <formula>WEEKDAY(#REF!,2)&gt;5</formula>
    </cfRule>
  </conditionalFormatting>
  <conditionalFormatting sqref="Z189:AA189">
    <cfRule type="expression" priority="975">
      <formula>WEEKDAY(X$3,2)&gt;5</formula>
    </cfRule>
  </conditionalFormatting>
  <conditionalFormatting sqref="AB189:AF189">
    <cfRule type="expression" priority="793">
      <formula>WEEKDAY(#REF!,2)&gt;5</formula>
    </cfRule>
  </conditionalFormatting>
  <conditionalFormatting sqref="AG189">
    <cfRule type="expression" priority="429">
      <formula>WEEKDAY(AE$3,2)&gt;5</formula>
    </cfRule>
  </conditionalFormatting>
  <conditionalFormatting sqref="AH189">
    <cfRule type="expression" priority="611">
      <formula>WEEKDAY(AF$3,2)&gt;5</formula>
    </cfRule>
  </conditionalFormatting>
  <conditionalFormatting sqref="D190:E190">
    <cfRule type="expression" priority="2612">
      <formula>WEEKDAY(B$3,2)&gt;5</formula>
    </cfRule>
  </conditionalFormatting>
  <conditionalFormatting sqref="F190">
    <cfRule type="expression" priority="2430">
      <formula>WEEKDAY(D$3,2)&gt;5</formula>
    </cfRule>
  </conditionalFormatting>
  <conditionalFormatting sqref="G190">
    <cfRule type="expression" priority="2794">
      <formula>WEEKDAY(E$3,2)&gt;5</formula>
    </cfRule>
  </conditionalFormatting>
  <conditionalFormatting sqref="H190">
    <cfRule type="expression" priority="2248">
      <formula>WEEKDAY(F$3,2)&gt;5</formula>
    </cfRule>
  </conditionalFormatting>
  <conditionalFormatting sqref="I190">
    <cfRule type="expression" priority="2066">
      <formula>WEEKDAY(#REF!,2)&gt;5</formula>
    </cfRule>
  </conditionalFormatting>
  <conditionalFormatting sqref="J190">
    <cfRule type="expression" priority="1884">
      <formula>WEEKDAY(#REF!,2)&gt;5</formula>
    </cfRule>
  </conditionalFormatting>
  <conditionalFormatting sqref="K190">
    <cfRule type="expression" priority="3158">
      <formula>WEEKDAY(#REF!,2)&gt;5</formula>
    </cfRule>
  </conditionalFormatting>
  <conditionalFormatting sqref="M190">
    <cfRule type="expression" priority="1702">
      <formula>WEEKDAY(K$3,2)&gt;5</formula>
    </cfRule>
  </conditionalFormatting>
  <conditionalFormatting sqref="O190:R190">
    <cfRule type="expression" priority="1520">
      <formula>WEEKDAY(#REF!,2)&gt;5</formula>
    </cfRule>
  </conditionalFormatting>
  <conditionalFormatting sqref="S190:T190">
    <cfRule type="expression" priority="1338">
      <formula>WEEKDAY(Q$3,2)&gt;5</formula>
    </cfRule>
  </conditionalFormatting>
  <conditionalFormatting sqref="U190:Y190">
    <cfRule type="expression" priority="1156">
      <formula>WEEKDAY(#REF!,2)&gt;5</formula>
    </cfRule>
  </conditionalFormatting>
  <conditionalFormatting sqref="X190:Y190">
    <cfRule type="expression" priority="2976">
      <formula>WEEKDAY(#REF!,2)&gt;5</formula>
    </cfRule>
  </conditionalFormatting>
  <conditionalFormatting sqref="Z190:AA190">
    <cfRule type="expression" priority="974">
      <formula>WEEKDAY(X$3,2)&gt;5</formula>
    </cfRule>
  </conditionalFormatting>
  <conditionalFormatting sqref="AB190:AF190">
    <cfRule type="expression" priority="792">
      <formula>WEEKDAY(#REF!,2)&gt;5</formula>
    </cfRule>
  </conditionalFormatting>
  <conditionalFormatting sqref="AG190">
    <cfRule type="expression" priority="428">
      <formula>WEEKDAY(AE$3,2)&gt;5</formula>
    </cfRule>
  </conditionalFormatting>
  <conditionalFormatting sqref="AH190">
    <cfRule type="expression" priority="610">
      <formula>WEEKDAY(AF$3,2)&gt;5</formula>
    </cfRule>
  </conditionalFormatting>
  <conditionalFormatting sqref="D191:E191">
    <cfRule type="expression" priority="2611">
      <formula>WEEKDAY(B$3,2)&gt;5</formula>
    </cfRule>
  </conditionalFormatting>
  <conditionalFormatting sqref="F191">
    <cfRule type="expression" priority="2429">
      <formula>WEEKDAY(D$3,2)&gt;5</formula>
    </cfRule>
  </conditionalFormatting>
  <conditionalFormatting sqref="G191">
    <cfRule type="expression" priority="2793">
      <formula>WEEKDAY(E$3,2)&gt;5</formula>
    </cfRule>
  </conditionalFormatting>
  <conditionalFormatting sqref="H191">
    <cfRule type="expression" priority="2247">
      <formula>WEEKDAY(F$3,2)&gt;5</formula>
    </cfRule>
  </conditionalFormatting>
  <conditionalFormatting sqref="I191">
    <cfRule type="expression" priority="2065">
      <formula>WEEKDAY(#REF!,2)&gt;5</formula>
    </cfRule>
  </conditionalFormatting>
  <conditionalFormatting sqref="J191">
    <cfRule type="expression" priority="1883">
      <formula>WEEKDAY(#REF!,2)&gt;5</formula>
    </cfRule>
  </conditionalFormatting>
  <conditionalFormatting sqref="K191">
    <cfRule type="expression" priority="3157">
      <formula>WEEKDAY(#REF!,2)&gt;5</formula>
    </cfRule>
  </conditionalFormatting>
  <conditionalFormatting sqref="M191">
    <cfRule type="expression" priority="1701">
      <formula>WEEKDAY(K$3,2)&gt;5</formula>
    </cfRule>
  </conditionalFormatting>
  <conditionalFormatting sqref="O191:R191">
    <cfRule type="expression" priority="1519">
      <formula>WEEKDAY(#REF!,2)&gt;5</formula>
    </cfRule>
  </conditionalFormatting>
  <conditionalFormatting sqref="S191:T191">
    <cfRule type="expression" priority="1337">
      <formula>WEEKDAY(Q$3,2)&gt;5</formula>
    </cfRule>
  </conditionalFormatting>
  <conditionalFormatting sqref="U191:Y191">
    <cfRule type="expression" priority="1155">
      <formula>WEEKDAY(#REF!,2)&gt;5</formula>
    </cfRule>
  </conditionalFormatting>
  <conditionalFormatting sqref="X191:Y191">
    <cfRule type="expression" priority="2975">
      <formula>WEEKDAY(#REF!,2)&gt;5</formula>
    </cfRule>
  </conditionalFormatting>
  <conditionalFormatting sqref="Z191:AA191">
    <cfRule type="expression" priority="973">
      <formula>WEEKDAY(X$3,2)&gt;5</formula>
    </cfRule>
  </conditionalFormatting>
  <conditionalFormatting sqref="AB191:AF191">
    <cfRule type="expression" priority="791">
      <formula>WEEKDAY(#REF!,2)&gt;5</formula>
    </cfRule>
  </conditionalFormatting>
  <conditionalFormatting sqref="AG191">
    <cfRule type="expression" priority="427">
      <formula>WEEKDAY(AE$3,2)&gt;5</formula>
    </cfRule>
  </conditionalFormatting>
  <conditionalFormatting sqref="AH191">
    <cfRule type="expression" priority="609">
      <formula>WEEKDAY(AF$3,2)&gt;5</formula>
    </cfRule>
  </conditionalFormatting>
  <conditionalFormatting sqref="D192:E192">
    <cfRule type="expression" priority="2610">
      <formula>WEEKDAY(B$3,2)&gt;5</formula>
    </cfRule>
  </conditionalFormatting>
  <conditionalFormatting sqref="F192">
    <cfRule type="expression" priority="2428">
      <formula>WEEKDAY(D$3,2)&gt;5</formula>
    </cfRule>
  </conditionalFormatting>
  <conditionalFormatting sqref="G192">
    <cfRule type="expression" priority="2792">
      <formula>WEEKDAY(E$3,2)&gt;5</formula>
    </cfRule>
  </conditionalFormatting>
  <conditionalFormatting sqref="H192">
    <cfRule type="expression" priority="2246">
      <formula>WEEKDAY(F$3,2)&gt;5</formula>
    </cfRule>
  </conditionalFormatting>
  <conditionalFormatting sqref="I192">
    <cfRule type="expression" priority="2064">
      <formula>WEEKDAY(#REF!,2)&gt;5</formula>
    </cfRule>
  </conditionalFormatting>
  <conditionalFormatting sqref="J192">
    <cfRule type="expression" priority="1882">
      <formula>WEEKDAY(#REF!,2)&gt;5</formula>
    </cfRule>
  </conditionalFormatting>
  <conditionalFormatting sqref="K192">
    <cfRule type="expression" priority="3156">
      <formula>WEEKDAY(#REF!,2)&gt;5</formula>
    </cfRule>
  </conditionalFormatting>
  <conditionalFormatting sqref="M192">
    <cfRule type="expression" priority="1700">
      <formula>WEEKDAY(K$3,2)&gt;5</formula>
    </cfRule>
  </conditionalFormatting>
  <conditionalFormatting sqref="O192:R192">
    <cfRule type="expression" priority="1518">
      <formula>WEEKDAY(#REF!,2)&gt;5</formula>
    </cfRule>
  </conditionalFormatting>
  <conditionalFormatting sqref="S192:T192">
    <cfRule type="expression" priority="1336">
      <formula>WEEKDAY(Q$3,2)&gt;5</formula>
    </cfRule>
  </conditionalFormatting>
  <conditionalFormatting sqref="U192:Y192">
    <cfRule type="expression" priority="1154">
      <formula>WEEKDAY(#REF!,2)&gt;5</formula>
    </cfRule>
  </conditionalFormatting>
  <conditionalFormatting sqref="X192:Y192">
    <cfRule type="expression" priority="2974">
      <formula>WEEKDAY(#REF!,2)&gt;5</formula>
    </cfRule>
  </conditionalFormatting>
  <conditionalFormatting sqref="Z192:AA192">
    <cfRule type="expression" priority="972">
      <formula>WEEKDAY(X$3,2)&gt;5</formula>
    </cfRule>
  </conditionalFormatting>
  <conditionalFormatting sqref="AB192:AF192">
    <cfRule type="expression" priority="790">
      <formula>WEEKDAY(#REF!,2)&gt;5</formula>
    </cfRule>
  </conditionalFormatting>
  <conditionalFormatting sqref="AG192">
    <cfRule type="expression" priority="426">
      <formula>WEEKDAY(AE$3,2)&gt;5</formula>
    </cfRule>
  </conditionalFormatting>
  <conditionalFormatting sqref="AH192">
    <cfRule type="expression" priority="608">
      <formula>WEEKDAY(AF$3,2)&gt;5</formula>
    </cfRule>
  </conditionalFormatting>
  <conditionalFormatting sqref="D193:E193">
    <cfRule type="expression" priority="2609">
      <formula>WEEKDAY(B$3,2)&gt;5</formula>
    </cfRule>
  </conditionalFormatting>
  <conditionalFormatting sqref="F193">
    <cfRule type="expression" priority="2427">
      <formula>WEEKDAY(D$3,2)&gt;5</formula>
    </cfRule>
  </conditionalFormatting>
  <conditionalFormatting sqref="G193">
    <cfRule type="expression" priority="2791">
      <formula>WEEKDAY(E$3,2)&gt;5</formula>
    </cfRule>
  </conditionalFormatting>
  <conditionalFormatting sqref="H193">
    <cfRule type="expression" priority="2245">
      <formula>WEEKDAY(F$3,2)&gt;5</formula>
    </cfRule>
  </conditionalFormatting>
  <conditionalFormatting sqref="I193">
    <cfRule type="expression" priority="2063">
      <formula>WEEKDAY(#REF!,2)&gt;5</formula>
    </cfRule>
  </conditionalFormatting>
  <conditionalFormatting sqref="J193">
    <cfRule type="expression" priority="1881">
      <formula>WEEKDAY(#REF!,2)&gt;5</formula>
    </cfRule>
  </conditionalFormatting>
  <conditionalFormatting sqref="K193">
    <cfRule type="expression" priority="3155">
      <formula>WEEKDAY(#REF!,2)&gt;5</formula>
    </cfRule>
  </conditionalFormatting>
  <conditionalFormatting sqref="M193">
    <cfRule type="expression" priority="1699">
      <formula>WEEKDAY(K$3,2)&gt;5</formula>
    </cfRule>
  </conditionalFormatting>
  <conditionalFormatting sqref="O193:R193">
    <cfRule type="expression" priority="1517">
      <formula>WEEKDAY(#REF!,2)&gt;5</formula>
    </cfRule>
  </conditionalFormatting>
  <conditionalFormatting sqref="S193:T193">
    <cfRule type="expression" priority="1335">
      <formula>WEEKDAY(Q$3,2)&gt;5</formula>
    </cfRule>
  </conditionalFormatting>
  <conditionalFormatting sqref="U193">
    <cfRule type="expression" priority="224">
      <formula>WEEKDAY(Q$3,2)&gt;5</formula>
    </cfRule>
  </conditionalFormatting>
  <conditionalFormatting sqref="V193:Y193">
    <cfRule type="expression" priority="1153">
      <formula>WEEKDAY(#REF!,2)&gt;5</formula>
    </cfRule>
  </conditionalFormatting>
  <conditionalFormatting sqref="X193:Y193">
    <cfRule type="expression" priority="2973">
      <formula>WEEKDAY(#REF!,2)&gt;5</formula>
    </cfRule>
  </conditionalFormatting>
  <conditionalFormatting sqref="Z193:AA193">
    <cfRule type="expression" priority="971">
      <formula>WEEKDAY(X$3,2)&gt;5</formula>
    </cfRule>
  </conditionalFormatting>
  <conditionalFormatting sqref="AB193:AF193">
    <cfRule type="expression" priority="789">
      <formula>WEEKDAY(#REF!,2)&gt;5</formula>
    </cfRule>
  </conditionalFormatting>
  <conditionalFormatting sqref="AG193">
    <cfRule type="expression" priority="425">
      <formula>WEEKDAY(AE$3,2)&gt;5</formula>
    </cfRule>
  </conditionalFormatting>
  <conditionalFormatting sqref="AH193">
    <cfRule type="expression" priority="607">
      <formula>WEEKDAY(AF$3,2)&gt;5</formula>
    </cfRule>
  </conditionalFormatting>
  <conditionalFormatting sqref="D194:E194">
    <cfRule type="expression" priority="2608">
      <formula>WEEKDAY(B$3,2)&gt;5</formula>
    </cfRule>
  </conditionalFormatting>
  <conditionalFormatting sqref="F194">
    <cfRule type="expression" priority="2426">
      <formula>WEEKDAY(D$3,2)&gt;5</formula>
    </cfRule>
  </conditionalFormatting>
  <conditionalFormatting sqref="G194">
    <cfRule type="expression" priority="2790">
      <formula>WEEKDAY(E$3,2)&gt;5</formula>
    </cfRule>
  </conditionalFormatting>
  <conditionalFormatting sqref="H194">
    <cfRule type="expression" priority="2244">
      <formula>WEEKDAY(F$3,2)&gt;5</formula>
    </cfRule>
  </conditionalFormatting>
  <conditionalFormatting sqref="I194">
    <cfRule type="expression" priority="2062">
      <formula>WEEKDAY(#REF!,2)&gt;5</formula>
    </cfRule>
  </conditionalFormatting>
  <conditionalFormatting sqref="J194">
    <cfRule type="expression" priority="1880">
      <formula>WEEKDAY(#REF!,2)&gt;5</formula>
    </cfRule>
  </conditionalFormatting>
  <conditionalFormatting sqref="K194">
    <cfRule type="expression" priority="3154">
      <formula>WEEKDAY(#REF!,2)&gt;5</formula>
    </cfRule>
  </conditionalFormatting>
  <conditionalFormatting sqref="M194">
    <cfRule type="expression" priority="1698">
      <formula>WEEKDAY(K$3,2)&gt;5</formula>
    </cfRule>
  </conditionalFormatting>
  <conditionalFormatting sqref="O194:R194">
    <cfRule type="expression" priority="1516">
      <formula>WEEKDAY(#REF!,2)&gt;5</formula>
    </cfRule>
  </conditionalFormatting>
  <conditionalFormatting sqref="S194:T194">
    <cfRule type="expression" priority="1334">
      <formula>WEEKDAY(Q$3,2)&gt;5</formula>
    </cfRule>
  </conditionalFormatting>
  <conditionalFormatting sqref="U194:Y194">
    <cfRule type="expression" priority="1152">
      <formula>WEEKDAY(#REF!,2)&gt;5</formula>
    </cfRule>
  </conditionalFormatting>
  <conditionalFormatting sqref="X194:Y194">
    <cfRule type="expression" priority="2972">
      <formula>WEEKDAY(#REF!,2)&gt;5</formula>
    </cfRule>
  </conditionalFormatting>
  <conditionalFormatting sqref="Z194:AA194">
    <cfRule type="expression" priority="970">
      <formula>WEEKDAY(X$3,2)&gt;5</formula>
    </cfRule>
  </conditionalFormatting>
  <conditionalFormatting sqref="AB194:AF194">
    <cfRule type="expression" priority="788">
      <formula>WEEKDAY(#REF!,2)&gt;5</formula>
    </cfRule>
  </conditionalFormatting>
  <conditionalFormatting sqref="AG194">
    <cfRule type="expression" priority="424">
      <formula>WEEKDAY(AE$3,2)&gt;5</formula>
    </cfRule>
  </conditionalFormatting>
  <conditionalFormatting sqref="AH194">
    <cfRule type="expression" priority="606">
      <formula>WEEKDAY(AF$3,2)&gt;5</formula>
    </cfRule>
  </conditionalFormatting>
  <conditionalFormatting sqref="D195:E195">
    <cfRule type="expression" priority="2607">
      <formula>WEEKDAY(B$3,2)&gt;5</formula>
    </cfRule>
  </conditionalFormatting>
  <conditionalFormatting sqref="F195">
    <cfRule type="expression" priority="2425">
      <formula>WEEKDAY(D$3,2)&gt;5</formula>
    </cfRule>
  </conditionalFormatting>
  <conditionalFormatting sqref="G195">
    <cfRule type="expression" priority="2789">
      <formula>WEEKDAY(E$3,2)&gt;5</formula>
    </cfRule>
  </conditionalFormatting>
  <conditionalFormatting sqref="H195">
    <cfRule type="expression" priority="2243">
      <formula>WEEKDAY(F$3,2)&gt;5</formula>
    </cfRule>
  </conditionalFormatting>
  <conditionalFormatting sqref="I195">
    <cfRule type="expression" priority="2061">
      <formula>WEEKDAY(#REF!,2)&gt;5</formula>
    </cfRule>
  </conditionalFormatting>
  <conditionalFormatting sqref="J195">
    <cfRule type="expression" priority="1879">
      <formula>WEEKDAY(#REF!,2)&gt;5</formula>
    </cfRule>
  </conditionalFormatting>
  <conditionalFormatting sqref="K195">
    <cfRule type="expression" priority="3153">
      <formula>WEEKDAY(#REF!,2)&gt;5</formula>
    </cfRule>
  </conditionalFormatting>
  <conditionalFormatting sqref="M195">
    <cfRule type="expression" priority="1697">
      <formula>WEEKDAY(K$3,2)&gt;5</formula>
    </cfRule>
  </conditionalFormatting>
  <conditionalFormatting sqref="O195:R195">
    <cfRule type="expression" priority="1515">
      <formula>WEEKDAY(#REF!,2)&gt;5</formula>
    </cfRule>
  </conditionalFormatting>
  <conditionalFormatting sqref="S195:T195">
    <cfRule type="expression" priority="1333">
      <formula>WEEKDAY(Q$3,2)&gt;5</formula>
    </cfRule>
  </conditionalFormatting>
  <conditionalFormatting sqref="U195:Y195">
    <cfRule type="expression" priority="1151">
      <formula>WEEKDAY(#REF!,2)&gt;5</formula>
    </cfRule>
  </conditionalFormatting>
  <conditionalFormatting sqref="X195:Y195">
    <cfRule type="expression" priority="2971">
      <formula>WEEKDAY(#REF!,2)&gt;5</formula>
    </cfRule>
  </conditionalFormatting>
  <conditionalFormatting sqref="Z195:AA195">
    <cfRule type="expression" priority="969">
      <formula>WEEKDAY(X$3,2)&gt;5</formula>
    </cfRule>
  </conditionalFormatting>
  <conditionalFormatting sqref="AB195:AF195">
    <cfRule type="expression" priority="787">
      <formula>WEEKDAY(#REF!,2)&gt;5</formula>
    </cfRule>
  </conditionalFormatting>
  <conditionalFormatting sqref="AG195">
    <cfRule type="expression" priority="423">
      <formula>WEEKDAY(AE$3,2)&gt;5</formula>
    </cfRule>
  </conditionalFormatting>
  <conditionalFormatting sqref="AH195">
    <cfRule type="expression" priority="605">
      <formula>WEEKDAY(AF$3,2)&gt;5</formula>
    </cfRule>
  </conditionalFormatting>
  <conditionalFormatting sqref="D196:E196">
    <cfRule type="expression" priority="2606">
      <formula>WEEKDAY(B$3,2)&gt;5</formula>
    </cfRule>
  </conditionalFormatting>
  <conditionalFormatting sqref="F196">
    <cfRule type="expression" priority="2424">
      <formula>WEEKDAY(D$3,2)&gt;5</formula>
    </cfRule>
  </conditionalFormatting>
  <conditionalFormatting sqref="G196">
    <cfRule type="expression" priority="2788">
      <formula>WEEKDAY(E$3,2)&gt;5</formula>
    </cfRule>
  </conditionalFormatting>
  <conditionalFormatting sqref="H196">
    <cfRule type="expression" priority="2242">
      <formula>WEEKDAY(F$3,2)&gt;5</formula>
    </cfRule>
  </conditionalFormatting>
  <conditionalFormatting sqref="I196">
    <cfRule type="expression" priority="2060">
      <formula>WEEKDAY(#REF!,2)&gt;5</formula>
    </cfRule>
  </conditionalFormatting>
  <conditionalFormatting sqref="J196">
    <cfRule type="expression" priority="1878">
      <formula>WEEKDAY(#REF!,2)&gt;5</formula>
    </cfRule>
  </conditionalFormatting>
  <conditionalFormatting sqref="K196">
    <cfRule type="expression" priority="3152">
      <formula>WEEKDAY(#REF!,2)&gt;5</formula>
    </cfRule>
  </conditionalFormatting>
  <conditionalFormatting sqref="M196">
    <cfRule type="expression" priority="1696">
      <formula>WEEKDAY(K$3,2)&gt;5</formula>
    </cfRule>
  </conditionalFormatting>
  <conditionalFormatting sqref="O196:R196">
    <cfRule type="expression" priority="1514">
      <formula>WEEKDAY(#REF!,2)&gt;5</formula>
    </cfRule>
  </conditionalFormatting>
  <conditionalFormatting sqref="S196:T196">
    <cfRule type="expression" priority="1332">
      <formula>WEEKDAY(Q$3,2)&gt;5</formula>
    </cfRule>
  </conditionalFormatting>
  <conditionalFormatting sqref="U196:Y196">
    <cfRule type="expression" priority="1150">
      <formula>WEEKDAY(#REF!,2)&gt;5</formula>
    </cfRule>
  </conditionalFormatting>
  <conditionalFormatting sqref="X196:Y196">
    <cfRule type="expression" priority="2970">
      <formula>WEEKDAY(#REF!,2)&gt;5</formula>
    </cfRule>
  </conditionalFormatting>
  <conditionalFormatting sqref="Z196:AA196">
    <cfRule type="expression" priority="968">
      <formula>WEEKDAY(X$3,2)&gt;5</formula>
    </cfRule>
  </conditionalFormatting>
  <conditionalFormatting sqref="AB196:AF196">
    <cfRule type="expression" priority="786">
      <formula>WEEKDAY(#REF!,2)&gt;5</formula>
    </cfRule>
  </conditionalFormatting>
  <conditionalFormatting sqref="AG196">
    <cfRule type="expression" priority="422">
      <formula>WEEKDAY(AE$3,2)&gt;5</formula>
    </cfRule>
  </conditionalFormatting>
  <conditionalFormatting sqref="AH196">
    <cfRule type="expression" priority="604">
      <formula>WEEKDAY(AF$3,2)&gt;5</formula>
    </cfRule>
  </conditionalFormatting>
  <conditionalFormatting sqref="D197:E197">
    <cfRule type="expression" priority="2605">
      <formula>WEEKDAY(B$3,2)&gt;5</formula>
    </cfRule>
  </conditionalFormatting>
  <conditionalFormatting sqref="F197">
    <cfRule type="expression" priority="2423">
      <formula>WEEKDAY(D$3,2)&gt;5</formula>
    </cfRule>
  </conditionalFormatting>
  <conditionalFormatting sqref="G197">
    <cfRule type="expression" priority="2787">
      <formula>WEEKDAY(E$3,2)&gt;5</formula>
    </cfRule>
  </conditionalFormatting>
  <conditionalFormatting sqref="H197">
    <cfRule type="expression" priority="2241">
      <formula>WEEKDAY(F$3,2)&gt;5</formula>
    </cfRule>
  </conditionalFormatting>
  <conditionalFormatting sqref="I197">
    <cfRule type="expression" priority="2059">
      <formula>WEEKDAY(#REF!,2)&gt;5</formula>
    </cfRule>
  </conditionalFormatting>
  <conditionalFormatting sqref="J197">
    <cfRule type="expression" priority="1877">
      <formula>WEEKDAY(#REF!,2)&gt;5</formula>
    </cfRule>
  </conditionalFormatting>
  <conditionalFormatting sqref="K197">
    <cfRule type="expression" priority="3151">
      <formula>WEEKDAY(#REF!,2)&gt;5</formula>
    </cfRule>
  </conditionalFormatting>
  <conditionalFormatting sqref="M197">
    <cfRule type="expression" priority="1695">
      <formula>WEEKDAY(K$3,2)&gt;5</formula>
    </cfRule>
  </conditionalFormatting>
  <conditionalFormatting sqref="O197:R197">
    <cfRule type="expression" priority="1513">
      <formula>WEEKDAY(#REF!,2)&gt;5</formula>
    </cfRule>
  </conditionalFormatting>
  <conditionalFormatting sqref="S197:T197">
    <cfRule type="expression" priority="1331">
      <formula>WEEKDAY(Q$3,2)&gt;5</formula>
    </cfRule>
  </conditionalFormatting>
  <conditionalFormatting sqref="U197:Y197">
    <cfRule type="expression" priority="1149">
      <formula>WEEKDAY(#REF!,2)&gt;5</formula>
    </cfRule>
  </conditionalFormatting>
  <conditionalFormatting sqref="X197:Y197">
    <cfRule type="expression" priority="2969">
      <formula>WEEKDAY(#REF!,2)&gt;5</formula>
    </cfRule>
  </conditionalFormatting>
  <conditionalFormatting sqref="Z197:AA197">
    <cfRule type="expression" priority="967">
      <formula>WEEKDAY(X$3,2)&gt;5</formula>
    </cfRule>
  </conditionalFormatting>
  <conditionalFormatting sqref="AB197:AF197">
    <cfRule type="expression" priority="785">
      <formula>WEEKDAY(#REF!,2)&gt;5</formula>
    </cfRule>
  </conditionalFormatting>
  <conditionalFormatting sqref="AG197">
    <cfRule type="expression" priority="421">
      <formula>WEEKDAY(AE$3,2)&gt;5</formula>
    </cfRule>
  </conditionalFormatting>
  <conditionalFormatting sqref="AH197">
    <cfRule type="expression" priority="603">
      <formula>WEEKDAY(AF$3,2)&gt;5</formula>
    </cfRule>
  </conditionalFormatting>
  <conditionalFormatting sqref="D198:E198">
    <cfRule type="expression" priority="2604">
      <formula>WEEKDAY(B$3,2)&gt;5</formula>
    </cfRule>
  </conditionalFormatting>
  <conditionalFormatting sqref="F198">
    <cfRule type="expression" priority="2422">
      <formula>WEEKDAY(D$3,2)&gt;5</formula>
    </cfRule>
  </conditionalFormatting>
  <conditionalFormatting sqref="G198">
    <cfRule type="expression" priority="2786">
      <formula>WEEKDAY(E$3,2)&gt;5</formula>
    </cfRule>
  </conditionalFormatting>
  <conditionalFormatting sqref="H198">
    <cfRule type="expression" priority="2240">
      <formula>WEEKDAY(F$3,2)&gt;5</formula>
    </cfRule>
  </conditionalFormatting>
  <conditionalFormatting sqref="I198">
    <cfRule type="expression" priority="2058">
      <formula>WEEKDAY(#REF!,2)&gt;5</formula>
    </cfRule>
  </conditionalFormatting>
  <conditionalFormatting sqref="J198">
    <cfRule type="expression" priority="1876">
      <formula>WEEKDAY(#REF!,2)&gt;5</formula>
    </cfRule>
  </conditionalFormatting>
  <conditionalFormatting sqref="K198">
    <cfRule type="expression" priority="3150">
      <formula>WEEKDAY(#REF!,2)&gt;5</formula>
    </cfRule>
  </conditionalFormatting>
  <conditionalFormatting sqref="M198">
    <cfRule type="expression" priority="1694">
      <formula>WEEKDAY(K$3,2)&gt;5</formula>
    </cfRule>
  </conditionalFormatting>
  <conditionalFormatting sqref="O198:R198">
    <cfRule type="expression" priority="1512">
      <formula>WEEKDAY(#REF!,2)&gt;5</formula>
    </cfRule>
  </conditionalFormatting>
  <conditionalFormatting sqref="S198:T198">
    <cfRule type="expression" priority="1330">
      <formula>WEEKDAY(Q$3,2)&gt;5</formula>
    </cfRule>
  </conditionalFormatting>
  <conditionalFormatting sqref="U198:Y198">
    <cfRule type="expression" priority="1148">
      <formula>WEEKDAY(#REF!,2)&gt;5</formula>
    </cfRule>
  </conditionalFormatting>
  <conditionalFormatting sqref="X198:Y198">
    <cfRule type="expression" priority="2968">
      <formula>WEEKDAY(#REF!,2)&gt;5</formula>
    </cfRule>
  </conditionalFormatting>
  <conditionalFormatting sqref="Z198:AA198">
    <cfRule type="expression" priority="966">
      <formula>WEEKDAY(X$3,2)&gt;5</formula>
    </cfRule>
  </conditionalFormatting>
  <conditionalFormatting sqref="AB198:AF198">
    <cfRule type="expression" priority="784">
      <formula>WEEKDAY(#REF!,2)&gt;5</formula>
    </cfRule>
  </conditionalFormatting>
  <conditionalFormatting sqref="AG198">
    <cfRule type="expression" priority="420">
      <formula>WEEKDAY(AE$3,2)&gt;5</formula>
    </cfRule>
  </conditionalFormatting>
  <conditionalFormatting sqref="AH198">
    <cfRule type="expression" priority="602">
      <formula>WEEKDAY(AF$3,2)&gt;5</formula>
    </cfRule>
  </conditionalFormatting>
  <conditionalFormatting sqref="AM198">
    <cfRule type="expression" priority="8263">
      <formula>WEEKDAY(#REF!,2)&gt;5</formula>
    </cfRule>
  </conditionalFormatting>
  <conditionalFormatting sqref="D199:E199">
    <cfRule type="expression" priority="2603">
      <formula>WEEKDAY(B$3,2)&gt;5</formula>
    </cfRule>
  </conditionalFormatting>
  <conditionalFormatting sqref="F199">
    <cfRule type="expression" priority="2421">
      <formula>WEEKDAY(D$3,2)&gt;5</formula>
    </cfRule>
  </conditionalFormatting>
  <conditionalFormatting sqref="G199">
    <cfRule type="expression" priority="2785">
      <formula>WEEKDAY(E$3,2)&gt;5</formula>
    </cfRule>
  </conditionalFormatting>
  <conditionalFormatting sqref="H199">
    <cfRule type="expression" priority="2239">
      <formula>WEEKDAY(F$3,2)&gt;5</formula>
    </cfRule>
  </conditionalFormatting>
  <conditionalFormatting sqref="I199">
    <cfRule type="expression" priority="2057">
      <formula>WEEKDAY(#REF!,2)&gt;5</formula>
    </cfRule>
  </conditionalFormatting>
  <conditionalFormatting sqref="J199">
    <cfRule type="expression" priority="1875">
      <formula>WEEKDAY(#REF!,2)&gt;5</formula>
    </cfRule>
  </conditionalFormatting>
  <conditionalFormatting sqref="K199">
    <cfRule type="expression" priority="3149">
      <formula>WEEKDAY(#REF!,2)&gt;5</formula>
    </cfRule>
  </conditionalFormatting>
  <conditionalFormatting sqref="M199">
    <cfRule type="expression" priority="1693">
      <formula>WEEKDAY(K$3,2)&gt;5</formula>
    </cfRule>
  </conditionalFormatting>
  <conditionalFormatting sqref="O199:R199">
    <cfRule type="expression" priority="1511">
      <formula>WEEKDAY(#REF!,2)&gt;5</formula>
    </cfRule>
  </conditionalFormatting>
  <conditionalFormatting sqref="S199:T199">
    <cfRule type="expression" priority="1329">
      <formula>WEEKDAY(Q$3,2)&gt;5</formula>
    </cfRule>
  </conditionalFormatting>
  <conditionalFormatting sqref="U199:Y199">
    <cfRule type="expression" priority="1147">
      <formula>WEEKDAY(#REF!,2)&gt;5</formula>
    </cfRule>
  </conditionalFormatting>
  <conditionalFormatting sqref="X199:Y199">
    <cfRule type="expression" priority="2967">
      <formula>WEEKDAY(#REF!,2)&gt;5</formula>
    </cfRule>
  </conditionalFormatting>
  <conditionalFormatting sqref="Z199:AA199">
    <cfRule type="expression" priority="965">
      <formula>WEEKDAY(X$3,2)&gt;5</formula>
    </cfRule>
  </conditionalFormatting>
  <conditionalFormatting sqref="AB199:AF199">
    <cfRule type="expression" priority="783">
      <formula>WEEKDAY(#REF!,2)&gt;5</formula>
    </cfRule>
  </conditionalFormatting>
  <conditionalFormatting sqref="AG199">
    <cfRule type="expression" priority="419">
      <formula>WEEKDAY(AE$3,2)&gt;5</formula>
    </cfRule>
  </conditionalFormatting>
  <conditionalFormatting sqref="AH199">
    <cfRule type="expression" priority="601">
      <formula>WEEKDAY(AF$3,2)&gt;5</formula>
    </cfRule>
  </conditionalFormatting>
  <conditionalFormatting sqref="D200:E200">
    <cfRule type="expression" priority="2602">
      <formula>WEEKDAY(B$3,2)&gt;5</formula>
    </cfRule>
  </conditionalFormatting>
  <conditionalFormatting sqref="F200">
    <cfRule type="expression" priority="2420">
      <formula>WEEKDAY(D$3,2)&gt;5</formula>
    </cfRule>
  </conditionalFormatting>
  <conditionalFormatting sqref="G200">
    <cfRule type="expression" priority="2784">
      <formula>WEEKDAY(E$3,2)&gt;5</formula>
    </cfRule>
  </conditionalFormatting>
  <conditionalFormatting sqref="H200">
    <cfRule type="expression" priority="2238">
      <formula>WEEKDAY(F$3,2)&gt;5</formula>
    </cfRule>
  </conditionalFormatting>
  <conditionalFormatting sqref="I200">
    <cfRule type="expression" priority="2056">
      <formula>WEEKDAY(#REF!,2)&gt;5</formula>
    </cfRule>
  </conditionalFormatting>
  <conditionalFormatting sqref="J200">
    <cfRule type="expression" priority="1874">
      <formula>WEEKDAY(#REF!,2)&gt;5</formula>
    </cfRule>
  </conditionalFormatting>
  <conditionalFormatting sqref="K200">
    <cfRule type="expression" priority="3148">
      <formula>WEEKDAY(#REF!,2)&gt;5</formula>
    </cfRule>
  </conditionalFormatting>
  <conditionalFormatting sqref="M200">
    <cfRule type="expression" priority="1692">
      <formula>WEEKDAY(K$3,2)&gt;5</formula>
    </cfRule>
  </conditionalFormatting>
  <conditionalFormatting sqref="O200:R200">
    <cfRule type="expression" priority="1510">
      <formula>WEEKDAY(#REF!,2)&gt;5</formula>
    </cfRule>
  </conditionalFormatting>
  <conditionalFormatting sqref="S200:T200">
    <cfRule type="expression" priority="1328">
      <formula>WEEKDAY(Q$3,2)&gt;5</formula>
    </cfRule>
  </conditionalFormatting>
  <conditionalFormatting sqref="U200:Y200">
    <cfRule type="expression" priority="1146">
      <formula>WEEKDAY(#REF!,2)&gt;5</formula>
    </cfRule>
  </conditionalFormatting>
  <conditionalFormatting sqref="X200:Y200">
    <cfRule type="expression" priority="2966">
      <formula>WEEKDAY(#REF!,2)&gt;5</formula>
    </cfRule>
  </conditionalFormatting>
  <conditionalFormatting sqref="Z200:AA200">
    <cfRule type="expression" priority="964">
      <formula>WEEKDAY(X$3,2)&gt;5</formula>
    </cfRule>
  </conditionalFormatting>
  <conditionalFormatting sqref="AB200:AF200">
    <cfRule type="expression" priority="782">
      <formula>WEEKDAY(#REF!,2)&gt;5</formula>
    </cfRule>
  </conditionalFormatting>
  <conditionalFormatting sqref="AG200">
    <cfRule type="expression" priority="418">
      <formula>WEEKDAY(AE$3,2)&gt;5</formula>
    </cfRule>
  </conditionalFormatting>
  <conditionalFormatting sqref="AH200">
    <cfRule type="expression" priority="600">
      <formula>WEEKDAY(AF$3,2)&gt;5</formula>
    </cfRule>
  </conditionalFormatting>
  <conditionalFormatting sqref="D201">
    <cfRule type="expression" priority="15499">
      <formula>WEEKDAY(#REF!,2)&gt;5</formula>
    </cfRule>
  </conditionalFormatting>
  <conditionalFormatting sqref="E201">
    <cfRule type="expression" priority="15501">
      <formula>WEEKDAY(C$3,2)&gt;5</formula>
    </cfRule>
  </conditionalFormatting>
  <conditionalFormatting sqref="F201">
    <cfRule type="expression" priority="15500">
      <formula>WEEKDAY(#REF!,2)&gt;5</formula>
    </cfRule>
  </conditionalFormatting>
  <conditionalFormatting sqref="G201:J201">
    <cfRule type="expression" priority="15498">
      <formula>WEEKDAY(#REF!,2)&gt;5</formula>
    </cfRule>
  </conditionalFormatting>
  <conditionalFormatting sqref="K201:O201">
    <cfRule type="expression" priority="15504">
      <formula>WEEKDAY(#REF!,2)&gt;5</formula>
    </cfRule>
  </conditionalFormatting>
  <conditionalFormatting sqref="L201:M201">
    <cfRule type="expression" priority="15497">
      <formula>WEEKDAY(J$3,2)&gt;5</formula>
    </cfRule>
  </conditionalFormatting>
  <conditionalFormatting sqref="P201:Q201">
    <cfRule type="expression" priority="15511">
      <formula>WEEKDAY(#REF!,2)&gt;5</formula>
    </cfRule>
  </conditionalFormatting>
  <conditionalFormatting sqref="P201">
    <cfRule type="expression" priority="15494">
      <formula>WEEKDAY(#REF!,2)&gt;5</formula>
    </cfRule>
  </conditionalFormatting>
  <conditionalFormatting sqref="R201:T201">
    <cfRule type="expression" priority="15503">
      <formula>WEEKDAY(#REF!,2)&gt;5</formula>
    </cfRule>
  </conditionalFormatting>
  <conditionalFormatting sqref="S201:T201">
    <cfRule type="expression" priority="15496">
      <formula>WEEKDAY(Q$3,2)&gt;5</formula>
    </cfRule>
  </conditionalFormatting>
  <conditionalFormatting sqref="U201">
    <cfRule type="expression" priority="15508">
      <formula>WEEKDAY(#REF!,2)&gt;5</formula>
    </cfRule>
  </conditionalFormatting>
  <conditionalFormatting sqref="V201:W201">
    <cfRule type="expression" priority="15493">
      <formula>WEEKDAY(#REF!,2)&gt;5</formula>
    </cfRule>
  </conditionalFormatting>
  <conditionalFormatting sqref="X201">
    <cfRule type="expression" priority="15502">
      <formula>WEEKDAY(#REF!,2)&gt;5</formula>
    </cfRule>
  </conditionalFormatting>
  <conditionalFormatting sqref="Y201:Z201">
    <cfRule type="expression" priority="15525">
      <formula>WEEKDAY(#REF!,2)&gt;5</formula>
    </cfRule>
  </conditionalFormatting>
  <conditionalFormatting sqref="Z201:AA201">
    <cfRule type="expression" priority="15495">
      <formula>WEEKDAY(X$3,2)&gt;5</formula>
    </cfRule>
  </conditionalFormatting>
  <conditionalFormatting sqref="AA201:AB201">
    <cfRule type="expression" priority="15507">
      <formula>WEEKDAY(#REF!,2)&gt;5</formula>
    </cfRule>
  </conditionalFormatting>
  <conditionalFormatting sqref="AC201">
    <cfRule type="expression" priority="15531">
      <formula>WEEKDAY(#REF!,2)&gt;5</formula>
    </cfRule>
  </conditionalFormatting>
  <conditionalFormatting sqref="AD201:AH201">
    <cfRule type="expression" priority="15458">
      <formula>WEEKDAY(#REF!,2)&gt;5</formula>
    </cfRule>
  </conditionalFormatting>
  <conditionalFormatting sqref="S202:T202">
    <cfRule type="expression" priority="3811">
      <formula>WEEKDAY(Q$3,2)&gt;5</formula>
    </cfRule>
  </conditionalFormatting>
  <conditionalFormatting sqref="U202:W202">
    <cfRule type="expression" priority="20">
      <formula>WEEKDAY(Q$3,2)&gt;5</formula>
    </cfRule>
  </conditionalFormatting>
  <conditionalFormatting sqref="X202">
    <cfRule type="expression" priority="417">
      <formula>WEEKDAY(T$3,2)&gt;5</formula>
    </cfRule>
  </conditionalFormatting>
  <conditionalFormatting sqref="U203:W203">
    <cfRule type="expression" priority="8095">
      <formula>WEEKDAY(S$3,2)&gt;5</formula>
    </cfRule>
  </conditionalFormatting>
  <conditionalFormatting sqref="X203:AA203">
    <cfRule type="expression" priority="4161">
      <formula>WEEKDAY(V$3,2)&gt;5</formula>
    </cfRule>
  </conditionalFormatting>
  <conditionalFormatting sqref="AD203:AH203">
    <cfRule type="expression" priority="15461">
      <formula>WEEKDAY(#REF!,2)&gt;5</formula>
    </cfRule>
  </conditionalFormatting>
  <conditionalFormatting sqref="K206:M206">
    <cfRule type="expression" priority="10188">
      <formula>WEEKDAY(I$3,2)&gt;5</formula>
    </cfRule>
  </conditionalFormatting>
  <conditionalFormatting sqref="U207">
    <cfRule type="expression" priority="9854">
      <formula>WEEKDAY(#REF!,2)&gt;5</formula>
    </cfRule>
  </conditionalFormatting>
  <conditionalFormatting sqref="V207">
    <cfRule type="expression" priority="9853">
      <formula>WEEKDAY(R$3,2)&gt;5</formula>
    </cfRule>
  </conditionalFormatting>
  <conditionalFormatting sqref="W207">
    <cfRule type="expression" priority="9852">
      <formula>WEEKDAY(#REF!,2)&gt;5</formula>
    </cfRule>
  </conditionalFormatting>
  <conditionalFormatting sqref="X207">
    <cfRule type="expression" priority="15429">
      <formula>WEEKDAY(T$3,2)&gt;5</formula>
    </cfRule>
  </conditionalFormatting>
  <conditionalFormatting sqref="Y207">
    <cfRule type="expression" priority="15428">
      <formula>WEEKDAY(#REF!,2)&gt;5</formula>
    </cfRule>
  </conditionalFormatting>
  <conditionalFormatting sqref="Z207">
    <cfRule type="expression" priority="15427">
      <formula>WEEKDAY(#REF!,2)&gt;5</formula>
    </cfRule>
  </conditionalFormatting>
  <conditionalFormatting sqref="AA207">
    <cfRule type="expression" priority="15426">
      <formula>WEEKDAY(#REF!,2)&gt;5</formula>
    </cfRule>
  </conditionalFormatting>
  <conditionalFormatting sqref="AB207">
    <cfRule type="expression" priority="15451">
      <formula>WEEKDAY(#REF!,2)&gt;5</formula>
    </cfRule>
  </conditionalFormatting>
  <conditionalFormatting sqref="AC207">
    <cfRule type="expression" priority="15505">
      <formula>WEEKDAY(#REF!,2)&gt;5</formula>
    </cfRule>
  </conditionalFormatting>
  <conditionalFormatting sqref="AD207:AH207">
    <cfRule type="expression" priority="15460">
      <formula>WEEKDAY(#REF!,2)&gt;5</formula>
    </cfRule>
  </conditionalFormatting>
  <conditionalFormatting sqref="AI207:AT207">
    <cfRule type="expression" priority="15435">
      <formula>WEEKDAY(#REF!,2)&gt;5</formula>
    </cfRule>
  </conditionalFormatting>
  <conditionalFormatting sqref="G208">
    <cfRule type="expression" priority="15554">
      <formula>WEEKDAY(#REF!,2)&gt;5</formula>
    </cfRule>
  </conditionalFormatting>
  <conditionalFormatting sqref="H208">
    <cfRule type="expression" priority="15553">
      <formula>WEEKDAY(D$3,2)&gt;5</formula>
    </cfRule>
  </conditionalFormatting>
  <conditionalFormatting sqref="I208">
    <cfRule type="expression" priority="15552">
      <formula>WEEKDAY(G$3,2)&gt;5</formula>
    </cfRule>
  </conditionalFormatting>
  <conditionalFormatting sqref="J208">
    <cfRule type="duplicateValues" dxfId="2" priority="15551"/>
  </conditionalFormatting>
  <conditionalFormatting sqref="K208">
    <cfRule type="duplicateValues" dxfId="2" priority="15550"/>
  </conditionalFormatting>
  <conditionalFormatting sqref="S208">
    <cfRule type="expression" priority="15558">
      <formula>WEEKDAY(#REF!,2)&gt;5</formula>
    </cfRule>
  </conditionalFormatting>
  <conditionalFormatting sqref="T208">
    <cfRule type="expression" priority="15557">
      <formula>WEEKDAY(R$3,2)&gt;5</formula>
    </cfRule>
  </conditionalFormatting>
  <conditionalFormatting sqref="U208">
    <cfRule type="expression" priority="15556">
      <formula>WEEKDAY(S$3,2)&gt;5</formula>
    </cfRule>
  </conditionalFormatting>
  <conditionalFormatting sqref="V208">
    <cfRule type="expression" priority="15445">
      <formula>WEEKDAY(#REF!,2)&gt;5</formula>
    </cfRule>
  </conditionalFormatting>
  <conditionalFormatting sqref="W208">
    <cfRule type="duplicateValues" dxfId="2" priority="15555"/>
  </conditionalFormatting>
  <conditionalFormatting sqref="X208">
    <cfRule type="expression" priority="15489">
      <formula>WEEKDAY(T$3,2)&gt;5</formula>
    </cfRule>
  </conditionalFormatting>
  <conditionalFormatting sqref="Y208">
    <cfRule type="expression" priority="15488">
      <formula>WEEKDAY(#REF!,2)&gt;5</formula>
    </cfRule>
  </conditionalFormatting>
  <conditionalFormatting sqref="Z208">
    <cfRule type="expression" priority="15487">
      <formula>WEEKDAY(#REF!,2)&gt;5</formula>
    </cfRule>
  </conditionalFormatting>
  <conditionalFormatting sqref="AA208">
    <cfRule type="expression" priority="15486">
      <formula>WEEKDAY(#REF!,2)&gt;5</formula>
    </cfRule>
  </conditionalFormatting>
  <conditionalFormatting sqref="AB208">
    <cfRule type="expression" priority="15492">
      <formula>WEEKDAY(#REF!,2)&gt;5</formula>
    </cfRule>
  </conditionalFormatting>
  <conditionalFormatting sqref="AC208">
    <cfRule type="expression" priority="15491">
      <formula>WEEKDAY(#REF!,2)&gt;5</formula>
    </cfRule>
  </conditionalFormatting>
  <conditionalFormatting sqref="AD208:AH208">
    <cfRule type="expression" priority="15459">
      <formula>WEEKDAY(#REF!,2)&gt;5</formula>
    </cfRule>
  </conditionalFormatting>
  <conditionalFormatting sqref="AC210">
    <cfRule type="expression" priority="15533">
      <formula>WEEKDAY(AA$3,2)&gt;5</formula>
    </cfRule>
  </conditionalFormatting>
  <conditionalFormatting sqref="AD210:AH210">
    <cfRule type="expression" priority="15462">
      <formula>WEEKDAY(#REF!,2)&gt;5</formula>
    </cfRule>
  </conditionalFormatting>
  <conditionalFormatting sqref="V212">
    <cfRule type="duplicateValues" dxfId="2" priority="15562"/>
  </conditionalFormatting>
  <conditionalFormatting sqref="W212">
    <cfRule type="expression" priority="15561">
      <formula>WEEKDAY(U$3,2)&gt;5</formula>
    </cfRule>
  </conditionalFormatting>
  <conditionalFormatting sqref="X212">
    <cfRule type="expression" priority="15560">
      <formula>WEEKDAY(#REF!,2)&gt;5</formula>
    </cfRule>
  </conditionalFormatting>
  <conditionalFormatting sqref="Y212">
    <cfRule type="duplicateValues" dxfId="2" priority="15559"/>
  </conditionalFormatting>
  <conditionalFormatting sqref="W213">
    <cfRule type="expression" priority="15566">
      <formula>WEEKDAY(S$3,2)&gt;5</formula>
    </cfRule>
  </conditionalFormatting>
  <conditionalFormatting sqref="W214">
    <cfRule type="expression" priority="15565">
      <formula>WEEKDAY(U$3,2)&gt;5</formula>
    </cfRule>
  </conditionalFormatting>
  <conditionalFormatting sqref="W215">
    <cfRule type="duplicateValues" dxfId="2" priority="15564"/>
  </conditionalFormatting>
  <conditionalFormatting sqref="W216">
    <cfRule type="duplicateValues" dxfId="2" priority="15563"/>
  </conditionalFormatting>
  <conditionalFormatting sqref="B16:B17">
    <cfRule type="duplicateValues" dxfId="1" priority="15443"/>
  </conditionalFormatting>
  <conditionalFormatting sqref="B25:B27">
    <cfRule type="duplicateValues" dxfId="1" priority="15512"/>
  </conditionalFormatting>
  <conditionalFormatting sqref="B55:B56">
    <cfRule type="duplicateValues" dxfId="1" priority="15446"/>
  </conditionalFormatting>
  <conditionalFormatting sqref="B93:B97">
    <cfRule type="duplicateValues" dxfId="1" priority="15450"/>
  </conditionalFormatting>
  <conditionalFormatting sqref="B110:B111">
    <cfRule type="duplicateValues" dxfId="1" priority="15518"/>
  </conditionalFormatting>
  <conditionalFormatting sqref="B116:B117">
    <cfRule type="duplicateValues" dxfId="1" priority="15527"/>
  </conditionalFormatting>
  <conditionalFormatting sqref="B126:B128">
    <cfRule type="duplicateValues" dxfId="1" priority="15441"/>
  </conditionalFormatting>
  <conditionalFormatting sqref="B129:B130">
    <cfRule type="duplicateValues" dxfId="1" priority="15432"/>
  </conditionalFormatting>
  <conditionalFormatting sqref="B141:B142">
    <cfRule type="duplicateValues" dxfId="1" priority="15536"/>
  </conditionalFormatting>
  <conditionalFormatting sqref="D129:D130">
    <cfRule type="expression" priority="2676">
      <formula>WEEKDAY(B$3,2)&gt;5</formula>
    </cfRule>
  </conditionalFormatting>
  <conditionalFormatting sqref="I46:I47">
    <cfRule type="expression" priority="2211">
      <formula>WEEKDAY(#REF!,2)&gt;5</formula>
    </cfRule>
  </conditionalFormatting>
  <conditionalFormatting sqref="J46:J47">
    <cfRule type="expression" priority="2029">
      <formula>WEEKDAY(#REF!,2)&gt;5</formula>
    </cfRule>
  </conditionalFormatting>
  <conditionalFormatting sqref="J95:J96">
    <cfRule type="expression" priority="1979">
      <formula>WEEKDAY(#REF!,2)&gt;5</formula>
    </cfRule>
  </conditionalFormatting>
  <conditionalFormatting sqref="K46:K47">
    <cfRule type="expression" priority="3303">
      <formula>WEEKDAY(#REF!,2)&gt;5</formula>
    </cfRule>
  </conditionalFormatting>
  <conditionalFormatting sqref="K95:K96">
    <cfRule type="expression" priority="3253">
      <formula>WEEKDAY(#REF!,2)&gt;5</formula>
    </cfRule>
  </conditionalFormatting>
  <conditionalFormatting sqref="M46:M47">
    <cfRule type="expression" priority="1847">
      <formula>WEEKDAY(K$3,2)&gt;5</formula>
    </cfRule>
  </conditionalFormatting>
  <conditionalFormatting sqref="M95:M96">
    <cfRule type="expression" priority="1797">
      <formula>WEEKDAY(K$3,2)&gt;5</formula>
    </cfRule>
  </conditionalFormatting>
  <conditionalFormatting sqref="AG46:AG47">
    <cfRule type="expression" priority="573">
      <formula>WEEKDAY(AE$3,2)&gt;5</formula>
    </cfRule>
  </conditionalFormatting>
  <conditionalFormatting sqref="AG95:AG97">
    <cfRule type="expression" priority="523">
      <formula>WEEKDAY(AE$3,2)&gt;5</formula>
    </cfRule>
  </conditionalFormatting>
  <conditionalFormatting sqref="AG129:AG130">
    <cfRule type="expression" priority="492">
      <formula>WEEKDAY(AE$3,2)&gt;5</formula>
    </cfRule>
  </conditionalFormatting>
  <conditionalFormatting sqref="AH46:AH47">
    <cfRule type="expression" priority="755">
      <formula>WEEKDAY(AF$3,2)&gt;5</formula>
    </cfRule>
  </conditionalFormatting>
  <conditionalFormatting sqref="AH95:AH97">
    <cfRule type="expression" priority="705">
      <formula>WEEKDAY(AF$3,2)&gt;5</formula>
    </cfRule>
  </conditionalFormatting>
  <conditionalFormatting sqref="AH129:AH130">
    <cfRule type="expression" priority="674">
      <formula>WEEKDAY(AF$3,2)&gt;5</formula>
    </cfRule>
  </conditionalFormatting>
  <conditionalFormatting sqref="AJ4:AJ200">
    <cfRule type="expression" priority="8256">
      <formula>WEEKDAY(#REF!,2)&gt;5</formula>
    </cfRule>
  </conditionalFormatting>
  <conditionalFormatting sqref="AN11:AN15">
    <cfRule type="expression" priority="8320">
      <formula>WEEKDAY(#REF!,2)&gt;5</formula>
    </cfRule>
  </conditionalFormatting>
  <conditionalFormatting sqref="AN18:AN23">
    <cfRule type="expression" priority="8319">
      <formula>WEEKDAY(#REF!,2)&gt;5</formula>
    </cfRule>
  </conditionalFormatting>
  <conditionalFormatting sqref="AN28:AN32">
    <cfRule type="expression" priority="8318">
      <formula>WEEKDAY(#REF!,2)&gt;5</formula>
    </cfRule>
  </conditionalFormatting>
  <conditionalFormatting sqref="AN37:AN40">
    <cfRule type="expression" priority="8317">
      <formula>WEEKDAY(#REF!,2)&gt;5</formula>
    </cfRule>
  </conditionalFormatting>
  <conditionalFormatting sqref="AN45:AN48">
    <cfRule type="expression" priority="8316">
      <formula>WEEKDAY(#REF!,2)&gt;5</formula>
    </cfRule>
  </conditionalFormatting>
  <conditionalFormatting sqref="AN52:AN53">
    <cfRule type="expression" priority="8314">
      <formula>WEEKDAY(#REF!,2)&gt;5</formula>
    </cfRule>
  </conditionalFormatting>
  <conditionalFormatting sqref="AN57:AN71">
    <cfRule type="expression" priority="8313">
      <formula>WEEKDAY(#REF!,2)&gt;5</formula>
    </cfRule>
  </conditionalFormatting>
  <conditionalFormatting sqref="AN73:AN75">
    <cfRule type="expression" priority="8312">
      <formula>WEEKDAY(#REF!,2)&gt;5</formula>
    </cfRule>
  </conditionalFormatting>
  <conditionalFormatting sqref="AN82:AN84">
    <cfRule type="expression" priority="8310">
      <formula>WEEKDAY(#REF!,2)&gt;5</formula>
    </cfRule>
  </conditionalFormatting>
  <conditionalFormatting sqref="AN85:AN92">
    <cfRule type="expression" priority="8309">
      <formula>WEEKDAY(#REF!,2)&gt;5</formula>
    </cfRule>
  </conditionalFormatting>
  <conditionalFormatting sqref="AN105:AN111">
    <cfRule type="expression" priority="8307">
      <formula>WEEKDAY(#REF!,2)&gt;5</formula>
    </cfRule>
  </conditionalFormatting>
  <conditionalFormatting sqref="AN113:AN121">
    <cfRule type="expression" priority="8306">
      <formula>WEEKDAY(#REF!,2)&gt;5</formula>
    </cfRule>
  </conditionalFormatting>
  <conditionalFormatting sqref="AN131:AN133">
    <cfRule type="expression" priority="8305">
      <formula>WEEKDAY(#REF!,2)&gt;5</formula>
    </cfRule>
  </conditionalFormatting>
  <conditionalFormatting sqref="AN145:AN146">
    <cfRule type="expression" priority="8301">
      <formula>WEEKDAY(#REF!,2)&gt;5</formula>
    </cfRule>
  </conditionalFormatting>
  <conditionalFormatting sqref="AN156:AN161">
    <cfRule type="expression" priority="8299">
      <formula>WEEKDAY(#REF!,2)&gt;5</formula>
    </cfRule>
  </conditionalFormatting>
  <conditionalFormatting sqref="AN170:AN173">
    <cfRule type="expression" priority="8298">
      <formula>WEEKDAY(#REF!,2)&gt;5</formula>
    </cfRule>
  </conditionalFormatting>
  <conditionalFormatting sqref="AN181:AN182">
    <cfRule type="expression" priority="8296">
      <formula>WEEKDAY(#REF!,2)&gt;5</formula>
    </cfRule>
  </conditionalFormatting>
  <conditionalFormatting sqref="AN184:AN188">
    <cfRule type="expression" priority="8295">
      <formula>WEEKDAY(#REF!,2)&gt;5</formula>
    </cfRule>
  </conditionalFormatting>
  <conditionalFormatting sqref="AN190:AN191">
    <cfRule type="expression" priority="8294">
      <formula>WEEKDAY(#REF!,2)&gt;5</formula>
    </cfRule>
  </conditionalFormatting>
  <conditionalFormatting sqref="AN194:AN197">
    <cfRule type="expression" priority="8293">
      <formula>WEEKDAY(#REF!,2)&gt;5</formula>
    </cfRule>
  </conditionalFormatting>
  <conditionalFormatting sqref="AT4:AT200">
    <cfRule type="expression" priority="4555">
      <formula>WEEKDAY(#REF!,2)&gt;5</formula>
    </cfRule>
  </conditionalFormatting>
  <conditionalFormatting sqref="AU202:AU211">
    <cfRule type="expression" priority="8262">
      <formula>WEEKDAY(#REF!,2)&gt;5</formula>
    </cfRule>
  </conditionalFormatting>
  <conditionalFormatting sqref="B1:B5 B7:B15 B18:B23 B25:B32 B37:B50 B52:B53 B57:B71 B73:B75 B77 B79 B82:B92 B98:B111 B113:B124 B131:B133 B136 B138:B139 B141:B142 B144:B146 B149 B156:B161 B170:B177 B179 B181:B188 B190:B1048576">
    <cfRule type="duplicateValues" dxfId="1" priority="15490"/>
  </conditionalFormatting>
  <conditionalFormatting sqref="B2:B5 B7:B15 B18:B23 B31:B32 B37:B39 B41:B47 B52 B57:B65 B67:B68 B70:B71 B73:B75 B77 B79 B82:B92 B98:B99 B102:B103 B105:B109 B113 B115 B118:B120 B122 B124 B131:B132 B138 B146 B149 B158:B160 B170:B173 B175 B177 B181 B184:B185 B187:B188 B190:B1048576">
    <cfRule type="duplicateValues" dxfId="1" priority="15549"/>
  </conditionalFormatting>
  <conditionalFormatting sqref="D2:AH2 D202:E1048576">
    <cfRule type="expression" priority="15577">
      <formula>WEEKDAY(B$3,2)&gt;5</formula>
    </cfRule>
  </conditionalFormatting>
  <conditionalFormatting sqref="AI2:AQ2 AT2 D3:AH3 F202:F1048576">
    <cfRule type="expression" priority="15570">
      <formula>WEEKDAY(#REF!,2)&gt;5</formula>
    </cfRule>
  </conditionalFormatting>
  <conditionalFormatting sqref="L4 N4">
    <cfRule type="expression" priority="8067">
      <formula>WEEKDAY(#REF!,2)&gt;5</formula>
    </cfRule>
  </conditionalFormatting>
  <conditionalFormatting sqref="AB4 AD4">
    <cfRule type="expression" priority="3769">
      <formula>WEEKDAY(#REF!,2)&gt;5</formula>
    </cfRule>
  </conditionalFormatting>
  <conditionalFormatting sqref="AI4 AK4:AS4 AI5 AK5:AM5 AO5:AS5 AI6 AK6:AS6 AI7 AK7:AM7 AO7:AS7 AI8 AK8:AS8 AI9 AK9:AS9 AI10 AK10:AS10 AI11 AK11:AM11 AO11:AS11 AI12 AK12:AM12 AO12:AS12 AI13 AK13:AM13 AO13:AS13 AI14 AK14:AM14 AO14:AS14 AI15 AK15:AM15 AO15:AS15 AI16 AK16:AS16 AI17 AK17:AS17 AI18 AK18:AM18 AO18:AS18 AI19 AK19:AM19 AO19:AS19 AI20 AK20:AM20 AO20:AS20 AI21 AK21:AM21 AO21:AS21 AI22 AK22:AM22 AO22:AS22 AI23 AK23:AM23 AO23:AS23 AI24 AK24:AS24 AI25 AK25:AS25 AI26 AK26:AS26 AI27 AK27:AS27 AI28 AK28:AM28 AO28:AS28 AI29 AK29:AM29 AO29:AS29 AI30 AK30:AM30 AO30:AS30 AI31 AK31:AM31 AO31:AS31 AI32 AK32:AM32 AO32:AS32 AI33 AK33:AS33 AI34 AK34:AS34 AI35 AK35:AS35 AI36 AK36:AS36 AI37 AK37:AM37 AO37:AS37 AI38 AK38:AM38 AO38:AS38 AI39 AK39:AM39 AO39:AS39 AI40 AK40:AM40 AO40:AS40 AI41 AK41:AS41 AI42 AK42:AS42 AI43 AK43:AS43 AI44 AK44:AS44 AI45 AK45:AM45 AO45:AS45 AI46 AK46:AM46 AO46:AS46 AI47 AK47:AM47 AO47:AS47 AI48 AK48:AM48 AO48:AS48 AI49 AK49:AS49 AI50 AK50:AM50 AO50:AS50 AI51 AK51:AS51 AI52 AK52:AM52 AO52:AS52 AI53 AK53:AM53 AO53:AS53 AI54 AK54:AS54 AI55 AK55:AS55 AI56 AK56:AS56 AI57 AK57:AM57 AO57:AS57 AI58 AK58:AM58 AO58:AS58 AI59 AK59:AM59 AO59:AS59 AI60 AK60:AM60 AO60:AS60 AI61 AK61:AM61 AO61:AS61 AI62 AK62:AM62 AO62:AS62 AI63 AK63:AM63 AO63:AS63 AI64 AK64:AM64 AO64:AS64 AI65 AK65:AM65 AO65:AS65 AI66 AK66:AM66 AO66:AS66 AI67 AK67:AM67 AO67:AS67 AI68 AK68:AM68 AO68:AS68 AI69 AK69:AM69 AO69:AS69 AI70 AK70:AM70 AO70:AS70 AI71 AK71:AM71 AO71:AS71 AI72 AK72:AS72 AI73 AK73:AM73 AO73:AS73 AI74 AK74:AM74 AO74:AS74 AI75 AK75:AM75 AO75:AS75 AI76 AK76:AS76 AI77 AK77:AM77 AO77:AS77 AI78 AK78:AS78 AI79 AK79:AS79 AI80 AK80:AS80 AI81 AK81:AS81 AI82 AK82:AM82 AO82:AS82 AI83 AK83:AM83 AO83:AS83 AI84 AK84:AM84 AO84:AS84 AI85 AK85:AM85 AO85:AS85 AI86 AK86:AM86 AO86:AS86 AI87 AK87:AM87 AO87:AS87 AI88 AK88:AM88 AO88:AS88 AI89 AK89:AM89 AO89:AS89 AI90 AK90:AM90 AO90:AS90 AI91 AK91:AM91 AO91:AS91 AI92 AK92:AM92 AO92:AS92 AI93 AK93:AS93 AI94 AK94:AS94 AI95 AK95:AS95 AI96 AK96:AS96 AI97 AK97:AS97 AI98 AK98:AM98 AO98:AS98 AI99 AK99:AM99 AO99:AS99 AI100 AK100:AM100 AO100:AS100 AI101 AK101:AM101 AO101:AS101 AI102 AK102:AS102 AI103 AK103:AS103 AI104 AK104:AM104 AO104:AS104 AI105 AK105:AM105 AO105:AS105 AI106 AK106:AM106 AO106:AS106 AI107 AK107:AM107 AO107:AS107 AI108 AK108:AM108 AO108:AS108 AI109 AK109:AM109 AO109:AS109 AI110 AK110:AM110 AO110:AS110 AI111 AK111:AM111 AO111:AS111 AI112 AK112:AS112 AI113 AK113:AM113 AO113:AS113 AI114 AK114:AM114 AO114:AS114 AI115 AK115:AM115 AO115:AS115 AI116 AK116:AM116 AO116:AS116 AI117 AK117:AM117 AO117:AS117 AI118 AK118:AM118 AO118:AS118 AI119 AK119:AM119 AO119:AS119 AI120 AK120:AM120 AO120:AS120 AI121 AK121:AM121 AO121:AS121 AI122 AK122:AS122 AI123 AK123:AS123 AI124 AK124:AS124 AI125 AK125:AS125 AI126 AK126:AS126 AI127 AK127:AS127 AI128 AK128:AS128 AI129 AK129:AS129 AI130 AK130:AS130 AI131 AK131:AM131 AO131:AS131 AI132 AK132:AM132 AO132:AS132 AI133 AK133:AM133 AO133:AS133 AI134 AK134:AS134 AI135 AK135:AS135 AI136 AK136:AM136 AO136:AS136 AI137 AK137:AS137 AI138 AK138:AM138 AO138:AS138 AI139 AK139:AS139 AI140 AK140:AS140 AI141 AK141:AM141 AO141:AS141 AI142 AK142:AS142 AI143 AK143:AS143 AI144 AK144:AS144 AI145 AK145:AM145 AO145:AS145 AI146 AK146:AM146 AO146:AS146 AI147 AK147:AS147 AI148 AK148:AS148 AI149 AK149:AM149 AO149:AS149 AI150 AK150:AS150 AI151 AK151:AS151 AI152 AK152:AS152 AI153 AK153:AS153 AI154 AK154:AS154 AI155 AK155:AS155 AI156 AK156:AM156 AO156:AS156 AI157 AK157:AM157 AO157:AS157 AI158 AK158:AM158 AO158:AS158 AI159 AK159:AM159 AO159:AS159 AI160 AK160:AM160 AO160:AS160 AI161 AK161:AM161 AO161:AS161 AI162 AK162:AS162 AI163 AK163:AS163 AI164 AK164:AS164 AI165 AK165:AS165 AI166 AK166:AS166 AI167 AK167:AS167 AI168 AK168:AS168 AI169 AK169:AS169 AI170 AK170:AM170 AO170:AS170 AI171 AK171:AM171 AO171:AS171 AI172 AK172:AM172 AO172:AS172 AI173 AK173:AM173 AO173:AS173 AI174 AK174:AS174 AI175 AK175:AM175 AO175:AS175 AI176 AK176:AM176 AO176:AS176 AI177 AK177:AM177 AO177:AS177 AI178 AK178:AS178 AI179 AK179:AM179 AO179:AS179 AI180 AK180:AS180 AI181 AK181:AM181 AO181:AS181 AI182 AK182:AM182 AO182:AS182 AI183 AK183:AS183 AI184 AK184:AM184 AO184:AS184 AI185 AK185:AM185 AO185:AS185 AI186 AK186:AM186 AO186:AS186 AI187 AK187:AM187 AO187:AS187 AI188 AK188:AM188 AO188:AS188 AI189 AK189:AS189 AI190 AK190:AM190 AO190:AS190 AI191 AK191:AM191 AO191:AS191 AI192 AK192:AS192 AI193 AK193:AS193 AI194 AK194:AM194 AO194:AS194 AI195 AK195:AM195 AO195:AS195 AI196 AK196:AM196 AO196:AS196 AI197 AK197:AM197 AO197:AS197 AI198 AK198:AL198 AN198:AS198 AI199 AK199:AL199 AO199:AS199 AI200 AK200:AL200 AO200:AS200 AI201:AT201">
    <cfRule type="expression" priority="15404">
      <formula>WEEKDAY(#REF!,2)&gt;5</formula>
    </cfRule>
  </conditionalFormatting>
  <conditionalFormatting sqref="L5 N5">
    <cfRule type="expression" priority="3749">
      <formula>WEEKDAY(#REF!,2)&gt;5</formula>
    </cfRule>
  </conditionalFormatting>
  <conditionalFormatting sqref="L6 N6">
    <cfRule type="expression" priority="3748">
      <formula>WEEKDAY(#REF!,2)&gt;5</formula>
    </cfRule>
  </conditionalFormatting>
  <conditionalFormatting sqref="L7 N7">
    <cfRule type="expression" priority="3747">
      <formula>WEEKDAY(#REF!,2)&gt;5</formula>
    </cfRule>
  </conditionalFormatting>
  <conditionalFormatting sqref="L8 N8">
    <cfRule type="expression" priority="3746">
      <formula>WEEKDAY(#REF!,2)&gt;5</formula>
    </cfRule>
  </conditionalFormatting>
  <conditionalFormatting sqref="L9 N9">
    <cfRule type="expression" priority="3745">
      <formula>WEEKDAY(#REF!,2)&gt;5</formula>
    </cfRule>
  </conditionalFormatting>
  <conditionalFormatting sqref="L11 N11">
    <cfRule type="expression" priority="3743">
      <formula>WEEKDAY(#REF!,2)&gt;5</formula>
    </cfRule>
  </conditionalFormatting>
  <conditionalFormatting sqref="L12 N12">
    <cfRule type="expression" priority="3742">
      <formula>WEEKDAY(#REF!,2)&gt;5</formula>
    </cfRule>
  </conditionalFormatting>
  <conditionalFormatting sqref="U12:W12 Y12">
    <cfRule type="expression" priority="3574">
      <formula>WEEKDAY(#REF!,2)&gt;5</formula>
    </cfRule>
  </conditionalFormatting>
  <conditionalFormatting sqref="AB12 AD12:AF12">
    <cfRule type="expression" priority="3546">
      <formula>WEEKDAY(#REF!,2)&gt;5</formula>
    </cfRule>
  </conditionalFormatting>
  <conditionalFormatting sqref="L13 N13">
    <cfRule type="expression" priority="3741">
      <formula>WEEKDAY(#REF!,2)&gt;5</formula>
    </cfRule>
  </conditionalFormatting>
  <conditionalFormatting sqref="L14 N14">
    <cfRule type="expression" priority="3740">
      <formula>WEEKDAY(#REF!,2)&gt;5</formula>
    </cfRule>
  </conditionalFormatting>
  <conditionalFormatting sqref="L15 N15">
    <cfRule type="expression" priority="3739">
      <formula>WEEKDAY(#REF!,2)&gt;5</formula>
    </cfRule>
  </conditionalFormatting>
  <conditionalFormatting sqref="L16 N16">
    <cfRule type="expression" priority="3738">
      <formula>WEEKDAY(#REF!,2)&gt;5</formula>
    </cfRule>
  </conditionalFormatting>
  <conditionalFormatting sqref="L17 N17">
    <cfRule type="expression" priority="3737">
      <formula>WEEKDAY(#REF!,2)&gt;5</formula>
    </cfRule>
  </conditionalFormatting>
  <conditionalFormatting sqref="L18 N18">
    <cfRule type="expression" priority="3511">
      <formula>WEEKDAY(#REF!,2)&gt;5</formula>
    </cfRule>
  </conditionalFormatting>
  <conditionalFormatting sqref="L19 N19">
    <cfRule type="expression" priority="3510">
      <formula>WEEKDAY(#REF!,2)&gt;5</formula>
    </cfRule>
  </conditionalFormatting>
  <conditionalFormatting sqref="L20 N20">
    <cfRule type="expression" priority="3509">
      <formula>WEEKDAY(#REF!,2)&gt;5</formula>
    </cfRule>
  </conditionalFormatting>
  <conditionalFormatting sqref="L21 N21">
    <cfRule type="expression" priority="3508">
      <formula>WEEKDAY(#REF!,2)&gt;5</formula>
    </cfRule>
  </conditionalFormatting>
  <conditionalFormatting sqref="L22 N22">
    <cfRule type="expression" priority="3507">
      <formula>WEEKDAY(#REF!,2)&gt;5</formula>
    </cfRule>
  </conditionalFormatting>
  <conditionalFormatting sqref="L23 N23">
    <cfRule type="expression" priority="3506">
      <formula>WEEKDAY(#REF!,2)&gt;5</formula>
    </cfRule>
  </conditionalFormatting>
  <conditionalFormatting sqref="L24 N24">
    <cfRule type="expression" priority="3505">
      <formula>WEEKDAY(#REF!,2)&gt;5</formula>
    </cfRule>
  </conditionalFormatting>
  <conditionalFormatting sqref="D25:E25 D26:D27">
    <cfRule type="expression" priority="2776">
      <formula>WEEKDAY(B$3,2)&gt;5</formula>
    </cfRule>
  </conditionalFormatting>
  <conditionalFormatting sqref="L25 N25:N26">
    <cfRule type="expression" priority="3504">
      <formula>WEEKDAY(#REF!,2)&gt;5</formula>
    </cfRule>
  </conditionalFormatting>
  <conditionalFormatting sqref="E26:H27">
    <cfRule type="expression" priority="122">
      <formula>WEEKDAY(C$3,2)&gt;5</formula>
    </cfRule>
  </conditionalFormatting>
  <conditionalFormatting sqref="I26:M26 I27:J27">
    <cfRule type="expression" priority="121">
      <formula>WEEKDAY(G$3,2)&gt;5</formula>
    </cfRule>
  </conditionalFormatting>
  <conditionalFormatting sqref="L27 N27">
    <cfRule type="expression" priority="113">
      <formula>WEEKDAY(#REF!,2)&gt;5</formula>
    </cfRule>
  </conditionalFormatting>
  <conditionalFormatting sqref="L28 N28">
    <cfRule type="expression" priority="3503">
      <formula>WEEKDAY(#REF!,2)&gt;5</formula>
    </cfRule>
  </conditionalFormatting>
  <conditionalFormatting sqref="B29 B48">
    <cfRule type="duplicateValues" dxfId="1" priority="15548"/>
  </conditionalFormatting>
  <conditionalFormatting sqref="L30 N30">
    <cfRule type="expression" priority="3501">
      <formula>WEEKDAY(#REF!,2)&gt;5</formula>
    </cfRule>
  </conditionalFormatting>
  <conditionalFormatting sqref="L31 N31">
    <cfRule type="expression" priority="3500">
      <formula>WEEKDAY(#REF!,2)&gt;5</formula>
    </cfRule>
  </conditionalFormatting>
  <conditionalFormatting sqref="L32 N32">
    <cfRule type="expression" priority="3499">
      <formula>WEEKDAY(#REF!,2)&gt;5</formula>
    </cfRule>
  </conditionalFormatting>
  <conditionalFormatting sqref="B33:B34 B164">
    <cfRule type="duplicateValues" dxfId="1" priority="15485"/>
  </conditionalFormatting>
  <conditionalFormatting sqref="L33 N33">
    <cfRule type="expression" priority="3498">
      <formula>WEEKDAY(#REF!,2)&gt;5</formula>
    </cfRule>
  </conditionalFormatting>
  <conditionalFormatting sqref="L34 N34">
    <cfRule type="expression" priority="3497">
      <formula>WEEKDAY(#REF!,2)&gt;5</formula>
    </cfRule>
  </conditionalFormatting>
  <conditionalFormatting sqref="B35:B36 B163">
    <cfRule type="duplicateValues" dxfId="1" priority="15447"/>
  </conditionalFormatting>
  <conditionalFormatting sqref="L36 N36">
    <cfRule type="expression" priority="3495">
      <formula>WEEKDAY(#REF!,2)&gt;5</formula>
    </cfRule>
  </conditionalFormatting>
  <conditionalFormatting sqref="L37 N37">
    <cfRule type="expression" priority="3494">
      <formula>WEEKDAY(#REF!,2)&gt;5</formula>
    </cfRule>
  </conditionalFormatting>
  <conditionalFormatting sqref="L38 N38">
    <cfRule type="expression" priority="3493">
      <formula>WEEKDAY(#REF!,2)&gt;5</formula>
    </cfRule>
  </conditionalFormatting>
  <conditionalFormatting sqref="L39 N39">
    <cfRule type="expression" priority="3492">
      <formula>WEEKDAY(#REF!,2)&gt;5</formula>
    </cfRule>
  </conditionalFormatting>
  <conditionalFormatting sqref="L40 N40">
    <cfRule type="expression" priority="3491">
      <formula>WEEKDAY(#REF!,2)&gt;5</formula>
    </cfRule>
  </conditionalFormatting>
  <conditionalFormatting sqref="L41 N41">
    <cfRule type="expression" priority="3490">
      <formula>WEEKDAY(#REF!,2)&gt;5</formula>
    </cfRule>
  </conditionalFormatting>
  <conditionalFormatting sqref="L44 N44">
    <cfRule type="expression" priority="3487">
      <formula>WEEKDAY(#REF!,2)&gt;5</formula>
    </cfRule>
  </conditionalFormatting>
  <conditionalFormatting sqref="L45 N45">
    <cfRule type="expression" priority="3486">
      <formula>WEEKDAY(#REF!,2)&gt;5</formula>
    </cfRule>
  </conditionalFormatting>
  <conditionalFormatting sqref="D46:E46 D47">
    <cfRule type="expression" priority="2757">
      <formula>WEEKDAY(B$3,2)&gt;5</formula>
    </cfRule>
  </conditionalFormatting>
  <conditionalFormatting sqref="L46 N46 L47 N47">
    <cfRule type="expression" priority="3485">
      <formula>WEEKDAY(#REF!,2)&gt;5</formula>
    </cfRule>
  </conditionalFormatting>
  <conditionalFormatting sqref="O46:R47">
    <cfRule type="expression" priority="1665">
      <formula>WEEKDAY(#REF!,2)&gt;5</formula>
    </cfRule>
  </conditionalFormatting>
  <conditionalFormatting sqref="S46:T47">
    <cfRule type="expression" priority="1483">
      <formula>WEEKDAY(Q$3,2)&gt;5</formula>
    </cfRule>
  </conditionalFormatting>
  <conditionalFormatting sqref="U46:Y47">
    <cfRule type="expression" priority="1301">
      <formula>WEEKDAY(#REF!,2)&gt;5</formula>
    </cfRule>
  </conditionalFormatting>
  <conditionalFormatting sqref="X46:Y47">
    <cfRule type="expression" priority="3121">
      <formula>WEEKDAY(#REF!,2)&gt;5</formula>
    </cfRule>
  </conditionalFormatting>
  <conditionalFormatting sqref="Z46:AA47">
    <cfRule type="expression" priority="1119">
      <formula>WEEKDAY(X$3,2)&gt;5</formula>
    </cfRule>
  </conditionalFormatting>
  <conditionalFormatting sqref="AB46:AF47">
    <cfRule type="expression" priority="937">
      <formula>WEEKDAY(#REF!,2)&gt;5</formula>
    </cfRule>
  </conditionalFormatting>
  <conditionalFormatting sqref="L48 N48">
    <cfRule type="expression" priority="3484">
      <formula>WEEKDAY(#REF!,2)&gt;5</formula>
    </cfRule>
  </conditionalFormatting>
  <conditionalFormatting sqref="L49 N49">
    <cfRule type="expression" priority="3483">
      <formula>WEEKDAY(#REF!,2)&gt;5</formula>
    </cfRule>
  </conditionalFormatting>
  <conditionalFormatting sqref="L50 N50">
    <cfRule type="expression" priority="3481">
      <formula>WEEKDAY(#REF!,2)&gt;5</formula>
    </cfRule>
  </conditionalFormatting>
  <conditionalFormatting sqref="O50 Q50:R50">
    <cfRule type="expression" priority="1661">
      <formula>WEEKDAY(#REF!,2)&gt;5</formula>
    </cfRule>
  </conditionalFormatting>
  <conditionalFormatting sqref="L51 N51">
    <cfRule type="expression" priority="3480">
      <formula>WEEKDAY(#REF!,2)&gt;5</formula>
    </cfRule>
  </conditionalFormatting>
  <conditionalFormatting sqref="L53 N53">
    <cfRule type="expression" priority="3478">
      <formula>WEEKDAY(#REF!,2)&gt;5</formula>
    </cfRule>
  </conditionalFormatting>
  <conditionalFormatting sqref="L55 N55">
    <cfRule type="expression" priority="3476">
      <formula>WEEKDAY(#REF!,2)&gt;5</formula>
    </cfRule>
  </conditionalFormatting>
  <conditionalFormatting sqref="L56 N56">
    <cfRule type="expression" priority="3475">
      <formula>WEEKDAY(#REF!,2)&gt;5</formula>
    </cfRule>
  </conditionalFormatting>
  <conditionalFormatting sqref="L57 N57">
    <cfRule type="expression" priority="3474">
      <formula>WEEKDAY(#REF!,2)&gt;5</formula>
    </cfRule>
  </conditionalFormatting>
  <conditionalFormatting sqref="L58 N58">
    <cfRule type="expression" priority="3473">
      <formula>WEEKDAY(#REF!,2)&gt;5</formula>
    </cfRule>
  </conditionalFormatting>
  <conditionalFormatting sqref="U58 X58:Y58">
    <cfRule type="expression" priority="1289">
      <formula>WEEKDAY(#REF!,2)&gt;5</formula>
    </cfRule>
  </conditionalFormatting>
  <conditionalFormatting sqref="L59 N59">
    <cfRule type="expression" priority="3472">
      <formula>WEEKDAY(#REF!,2)&gt;5</formula>
    </cfRule>
  </conditionalFormatting>
  <conditionalFormatting sqref="U59 W59:Y59">
    <cfRule type="expression" priority="1288">
      <formula>WEEKDAY(#REF!,2)&gt;5</formula>
    </cfRule>
  </conditionalFormatting>
  <conditionalFormatting sqref="L60 N60">
    <cfRule type="expression" priority="3471">
      <formula>WEEKDAY(#REF!,2)&gt;5</formula>
    </cfRule>
  </conditionalFormatting>
  <conditionalFormatting sqref="L61 N61">
    <cfRule type="expression" priority="3470">
      <formula>WEEKDAY(#REF!,2)&gt;5</formula>
    </cfRule>
  </conditionalFormatting>
  <conditionalFormatting sqref="L62 N62">
    <cfRule type="expression" priority="3469">
      <formula>WEEKDAY(#REF!,2)&gt;5</formula>
    </cfRule>
  </conditionalFormatting>
  <conditionalFormatting sqref="AB62 AD62:AF62">
    <cfRule type="expression" priority="921">
      <formula>WEEKDAY(#REF!,2)&gt;5</formula>
    </cfRule>
  </conditionalFormatting>
  <conditionalFormatting sqref="L63 N63">
    <cfRule type="expression" priority="3468">
      <formula>WEEKDAY(#REF!,2)&gt;5</formula>
    </cfRule>
  </conditionalFormatting>
  <conditionalFormatting sqref="O63:P63 R63">
    <cfRule type="expression" priority="1648">
      <formula>WEEKDAY(#REF!,2)&gt;5</formula>
    </cfRule>
  </conditionalFormatting>
  <conditionalFormatting sqref="L64 N64">
    <cfRule type="expression" priority="3467">
      <formula>WEEKDAY(#REF!,2)&gt;5</formula>
    </cfRule>
  </conditionalFormatting>
  <conditionalFormatting sqref="L65 N65">
    <cfRule type="expression" priority="3466">
      <formula>WEEKDAY(#REF!,2)&gt;5</formula>
    </cfRule>
  </conditionalFormatting>
  <conditionalFormatting sqref="L66 N66">
    <cfRule type="expression" priority="3465">
      <formula>WEEKDAY(#REF!,2)&gt;5</formula>
    </cfRule>
  </conditionalFormatting>
  <conditionalFormatting sqref="L67 N67">
    <cfRule type="expression" priority="3464">
      <formula>WEEKDAY(#REF!,2)&gt;5</formula>
    </cfRule>
  </conditionalFormatting>
  <conditionalFormatting sqref="L68 N68">
    <cfRule type="expression" priority="3463">
      <formula>WEEKDAY(#REF!,2)&gt;5</formula>
    </cfRule>
  </conditionalFormatting>
  <conditionalFormatting sqref="L69 N69">
    <cfRule type="expression" priority="3462">
      <formula>WEEKDAY(#REF!,2)&gt;5</formula>
    </cfRule>
  </conditionalFormatting>
  <conditionalFormatting sqref="L70 N70">
    <cfRule type="expression" priority="3460">
      <formula>WEEKDAY(#REF!,2)&gt;5</formula>
    </cfRule>
  </conditionalFormatting>
  <conditionalFormatting sqref="L71 N71">
    <cfRule type="expression" priority="3459">
      <formula>WEEKDAY(#REF!,2)&gt;5</formula>
    </cfRule>
  </conditionalFormatting>
  <conditionalFormatting sqref="L72 N72">
    <cfRule type="expression" priority="3458">
      <formula>WEEKDAY(#REF!,2)&gt;5</formula>
    </cfRule>
  </conditionalFormatting>
  <conditionalFormatting sqref="U72:W72 Y72">
    <cfRule type="expression" priority="1274">
      <formula>WEEKDAY(#REF!,2)&gt;5</formula>
    </cfRule>
  </conditionalFormatting>
  <conditionalFormatting sqref="AB72:AC72 AE72:AF72">
    <cfRule type="expression" priority="910">
      <formula>WEEKDAY(#REF!,2)&gt;5</formula>
    </cfRule>
  </conditionalFormatting>
  <conditionalFormatting sqref="L74 N74">
    <cfRule type="expression" priority="3456">
      <formula>WEEKDAY(#REF!,2)&gt;5</formula>
    </cfRule>
  </conditionalFormatting>
  <conditionalFormatting sqref="AB74:AC74 AE74:AF74">
    <cfRule type="expression" priority="908">
      <formula>WEEKDAY(#REF!,2)&gt;5</formula>
    </cfRule>
  </conditionalFormatting>
  <conditionalFormatting sqref="L77 N77">
    <cfRule type="expression" priority="3453">
      <formula>WEEKDAY(#REF!,2)&gt;5</formula>
    </cfRule>
  </conditionalFormatting>
  <conditionalFormatting sqref="U77:W77 Y77">
    <cfRule type="expression" priority="1269">
      <formula>WEEKDAY(#REF!,2)&gt;5</formula>
    </cfRule>
  </conditionalFormatting>
  <conditionalFormatting sqref="B78 B80:B81">
    <cfRule type="duplicateValues" dxfId="1" priority="15440"/>
  </conditionalFormatting>
  <conditionalFormatting sqref="L78 N78">
    <cfRule type="expression" priority="3452">
      <formula>WEEKDAY(#REF!,2)&gt;5</formula>
    </cfRule>
  </conditionalFormatting>
  <conditionalFormatting sqref="AB78:AD78 AF78">
    <cfRule type="expression" priority="904">
      <formula>WEEKDAY(#REF!,2)&gt;5</formula>
    </cfRule>
  </conditionalFormatting>
  <conditionalFormatting sqref="L79 N79">
    <cfRule type="expression" priority="3451">
      <formula>WEEKDAY(#REF!,2)&gt;5</formula>
    </cfRule>
  </conditionalFormatting>
  <conditionalFormatting sqref="L80 N80">
    <cfRule type="expression" priority="3450">
      <formula>WEEKDAY(#REF!,2)&gt;5</formula>
    </cfRule>
  </conditionalFormatting>
  <conditionalFormatting sqref="U80:V80 X80:Y80">
    <cfRule type="expression" priority="1266">
      <formula>WEEKDAY(#REF!,2)&gt;5</formula>
    </cfRule>
  </conditionalFormatting>
  <conditionalFormatting sqref="L81 N81">
    <cfRule type="expression" priority="3449">
      <formula>WEEKDAY(#REF!,2)&gt;5</formula>
    </cfRule>
  </conditionalFormatting>
  <conditionalFormatting sqref="L82 N82">
    <cfRule type="expression" priority="3448">
      <formula>WEEKDAY(#REF!,2)&gt;5</formula>
    </cfRule>
  </conditionalFormatting>
  <conditionalFormatting sqref="L83 N83">
    <cfRule type="expression" priority="3447">
      <formula>WEEKDAY(#REF!,2)&gt;5</formula>
    </cfRule>
  </conditionalFormatting>
  <conditionalFormatting sqref="L84 N84">
    <cfRule type="expression" priority="3446">
      <formula>WEEKDAY(#REF!,2)&gt;5</formula>
    </cfRule>
  </conditionalFormatting>
  <conditionalFormatting sqref="L85 N85">
    <cfRule type="expression" priority="3445">
      <formula>WEEKDAY(#REF!,2)&gt;5</formula>
    </cfRule>
  </conditionalFormatting>
  <conditionalFormatting sqref="L87 N87">
    <cfRule type="expression" priority="3443">
      <formula>WEEKDAY(#REF!,2)&gt;5</formula>
    </cfRule>
  </conditionalFormatting>
  <conditionalFormatting sqref="L88 N88">
    <cfRule type="expression" priority="3442">
      <formula>WEEKDAY(#REF!,2)&gt;5</formula>
    </cfRule>
  </conditionalFormatting>
  <conditionalFormatting sqref="L89 N89">
    <cfRule type="expression" priority="3441">
      <formula>WEEKDAY(#REF!,2)&gt;5</formula>
    </cfRule>
  </conditionalFormatting>
  <conditionalFormatting sqref="L90 N90">
    <cfRule type="expression" priority="3440">
      <formula>WEEKDAY(#REF!,2)&gt;5</formula>
    </cfRule>
  </conditionalFormatting>
  <conditionalFormatting sqref="AB90 AD90:AF90">
    <cfRule type="expression" priority="892">
      <formula>WEEKDAY(#REF!,2)&gt;5</formula>
    </cfRule>
  </conditionalFormatting>
  <conditionalFormatting sqref="L92 N92">
    <cfRule type="expression" priority="3438">
      <formula>WEEKDAY(#REF!,2)&gt;5</formula>
    </cfRule>
  </conditionalFormatting>
  <conditionalFormatting sqref="O92 Q92:R92">
    <cfRule type="expression" priority="1618">
      <formula>WEEKDAY(#REF!,2)&gt;5</formula>
    </cfRule>
  </conditionalFormatting>
  <conditionalFormatting sqref="L93 N93">
    <cfRule type="expression" priority="3437">
      <formula>WEEKDAY(#REF!,2)&gt;5</formula>
    </cfRule>
  </conditionalFormatting>
  <conditionalFormatting sqref="L94 N94">
    <cfRule type="expression" priority="3436">
      <formula>WEEKDAY(#REF!,2)&gt;5</formula>
    </cfRule>
  </conditionalFormatting>
  <conditionalFormatting sqref="D95:E95 D96">
    <cfRule type="expression" priority="2707">
      <formula>WEEKDAY(B$3,2)&gt;5</formula>
    </cfRule>
  </conditionalFormatting>
  <conditionalFormatting sqref="L95 N95 L96 N96">
    <cfRule type="expression" priority="3435">
      <formula>WEEKDAY(#REF!,2)&gt;5</formula>
    </cfRule>
  </conditionalFormatting>
  <conditionalFormatting sqref="O95 R95 O96:R96">
    <cfRule type="expression" priority="1615">
      <formula>WEEKDAY(#REF!,2)&gt;5</formula>
    </cfRule>
  </conditionalFormatting>
  <conditionalFormatting sqref="S95:T96">
    <cfRule type="expression" priority="1433">
      <formula>WEEKDAY(Q$3,2)&gt;5</formula>
    </cfRule>
  </conditionalFormatting>
  <conditionalFormatting sqref="U95:Y97">
    <cfRule type="expression" priority="1251">
      <formula>WEEKDAY(#REF!,2)&gt;5</formula>
    </cfRule>
  </conditionalFormatting>
  <conditionalFormatting sqref="X95:Y97">
    <cfRule type="expression" priority="3071">
      <formula>WEEKDAY(#REF!,2)&gt;5</formula>
    </cfRule>
  </conditionalFormatting>
  <conditionalFormatting sqref="Z95:AA97">
    <cfRule type="expression" priority="1069">
      <formula>WEEKDAY(X$3,2)&gt;5</formula>
    </cfRule>
  </conditionalFormatting>
  <conditionalFormatting sqref="AB95:AF97">
    <cfRule type="expression" priority="887">
      <formula>WEEKDAY(#REF!,2)&gt;5</formula>
    </cfRule>
  </conditionalFormatting>
  <conditionalFormatting sqref="L98 N98">
    <cfRule type="expression" priority="3434">
      <formula>WEEKDAY(#REF!,2)&gt;5</formula>
    </cfRule>
  </conditionalFormatting>
  <conditionalFormatting sqref="AN98:AN101 AN104">
    <cfRule type="expression" priority="8308">
      <formula>WEEKDAY(#REF!,2)&gt;5</formula>
    </cfRule>
  </conditionalFormatting>
  <conditionalFormatting sqref="L99 N99">
    <cfRule type="expression" priority="3433">
      <formula>WEEKDAY(#REF!,2)&gt;5</formula>
    </cfRule>
  </conditionalFormatting>
  <conditionalFormatting sqref="U100:V100 X100:Y100">
    <cfRule type="expression" priority="1248">
      <formula>WEEKDAY(#REF!,2)&gt;5</formula>
    </cfRule>
  </conditionalFormatting>
  <conditionalFormatting sqref="AD102 AF102">
    <cfRule type="expression" priority="368">
      <formula>WEEKDAY(#REF!,2)&gt;5</formula>
    </cfRule>
  </conditionalFormatting>
  <conditionalFormatting sqref="L103 N103">
    <cfRule type="expression" priority="3428">
      <formula>WEEKDAY(#REF!,2)&gt;5</formula>
    </cfRule>
  </conditionalFormatting>
  <conditionalFormatting sqref="L104 N104">
    <cfRule type="expression" priority="357">
      <formula>WEEKDAY(#REF!,2)&gt;5</formula>
    </cfRule>
  </conditionalFormatting>
  <conditionalFormatting sqref="U105 W105 Y105">
    <cfRule type="expression" priority="1243">
      <formula>WEEKDAY(#REF!,2)&gt;5</formula>
    </cfRule>
  </conditionalFormatting>
  <conditionalFormatting sqref="L106 N106">
    <cfRule type="expression" priority="3426">
      <formula>WEEKDAY(#REF!,2)&gt;5</formula>
    </cfRule>
  </conditionalFormatting>
  <conditionalFormatting sqref="O106 Q106:R106">
    <cfRule type="expression" priority="1606">
      <formula>WEEKDAY(#REF!,2)&gt;5</formula>
    </cfRule>
  </conditionalFormatting>
  <conditionalFormatting sqref="U106:V106 X106">
    <cfRule type="expression" priority="1242">
      <formula>WEEKDAY(#REF!,2)&gt;5</formula>
    </cfRule>
  </conditionalFormatting>
  <conditionalFormatting sqref="L107 N107">
    <cfRule type="expression" priority="3425">
      <formula>WEEKDAY(#REF!,2)&gt;5</formula>
    </cfRule>
  </conditionalFormatting>
  <conditionalFormatting sqref="L108 N108">
    <cfRule type="expression" priority="3424">
      <formula>WEEKDAY(#REF!,2)&gt;5</formula>
    </cfRule>
  </conditionalFormatting>
  <conditionalFormatting sqref="L109 N109">
    <cfRule type="expression" priority="3423">
      <formula>WEEKDAY(#REF!,2)&gt;5</formula>
    </cfRule>
  </conditionalFormatting>
  <conditionalFormatting sqref="O110:P110 R110">
    <cfRule type="expression" priority="1601">
      <formula>WEEKDAY(#REF!,2)&gt;5</formula>
    </cfRule>
  </conditionalFormatting>
  <conditionalFormatting sqref="L111 N111">
    <cfRule type="expression" priority="3420">
      <formula>WEEKDAY(#REF!,2)&gt;5</formula>
    </cfRule>
  </conditionalFormatting>
  <conditionalFormatting sqref="L112 N112">
    <cfRule type="expression" priority="3419">
      <formula>WEEKDAY(#REF!,2)&gt;5</formula>
    </cfRule>
  </conditionalFormatting>
  <conditionalFormatting sqref="O112 Q112:R112">
    <cfRule type="expression" priority="1599">
      <formula>WEEKDAY(#REF!,2)&gt;5</formula>
    </cfRule>
  </conditionalFormatting>
  <conditionalFormatting sqref="U112:W112 Y112">
    <cfRule type="expression" priority="1235">
      <formula>WEEKDAY(#REF!,2)&gt;5</formula>
    </cfRule>
  </conditionalFormatting>
  <conditionalFormatting sqref="L113 N113">
    <cfRule type="expression" priority="3418">
      <formula>WEEKDAY(#REF!,2)&gt;5</formula>
    </cfRule>
  </conditionalFormatting>
  <conditionalFormatting sqref="O113 Q113:R113">
    <cfRule type="expression" priority="1598">
      <formula>WEEKDAY(#REF!,2)&gt;5</formula>
    </cfRule>
  </conditionalFormatting>
  <conditionalFormatting sqref="U113:V113 X113:Y113">
    <cfRule type="expression" priority="1234">
      <formula>WEEKDAY(#REF!,2)&gt;5</formula>
    </cfRule>
  </conditionalFormatting>
  <conditionalFormatting sqref="AB113:AC113 AF113">
    <cfRule type="expression" priority="870">
      <formula>WEEKDAY(#REF!,2)&gt;5</formula>
    </cfRule>
  </conditionalFormatting>
  <conditionalFormatting sqref="O114 Q114:R114">
    <cfRule type="expression" priority="1597">
      <formula>WEEKDAY(#REF!,2)&gt;5</formula>
    </cfRule>
  </conditionalFormatting>
  <conditionalFormatting sqref="U114 X114:Y114">
    <cfRule type="expression" priority="1233">
      <formula>WEEKDAY(#REF!,2)&gt;5</formula>
    </cfRule>
  </conditionalFormatting>
  <conditionalFormatting sqref="L115 N115">
    <cfRule type="expression" priority="3416">
      <formula>WEEKDAY(#REF!,2)&gt;5</formula>
    </cfRule>
  </conditionalFormatting>
  <conditionalFormatting sqref="L117 N117">
    <cfRule type="expression" priority="3414">
      <formula>WEEKDAY(#REF!,2)&gt;5</formula>
    </cfRule>
  </conditionalFormatting>
  <conditionalFormatting sqref="L118 N118">
    <cfRule type="expression" priority="3413">
      <formula>WEEKDAY(#REF!,2)&gt;5</formula>
    </cfRule>
  </conditionalFormatting>
  <conditionalFormatting sqref="L119 N119">
    <cfRule type="expression" priority="3412">
      <formula>WEEKDAY(#REF!,2)&gt;5</formula>
    </cfRule>
  </conditionalFormatting>
  <conditionalFormatting sqref="L120 N120">
    <cfRule type="expression" priority="3410">
      <formula>WEEKDAY(#REF!,2)&gt;5</formula>
    </cfRule>
  </conditionalFormatting>
  <conditionalFormatting sqref="L121 N121">
    <cfRule type="expression" priority="3409">
      <formula>WEEKDAY(#REF!,2)&gt;5</formula>
    </cfRule>
  </conditionalFormatting>
  <conditionalFormatting sqref="L123 N123">
    <cfRule type="expression" priority="3407">
      <formula>WEEKDAY(#REF!,2)&gt;5</formula>
    </cfRule>
  </conditionalFormatting>
  <conditionalFormatting sqref="L124 N124">
    <cfRule type="expression" priority="3406">
      <formula>WEEKDAY(#REF!,2)&gt;5</formula>
    </cfRule>
  </conditionalFormatting>
  <conditionalFormatting sqref="AB124 AD124:AF124">
    <cfRule type="expression" priority="858">
      <formula>WEEKDAY(#REF!,2)&gt;5</formula>
    </cfRule>
  </conditionalFormatting>
  <conditionalFormatting sqref="L125 N125">
    <cfRule type="expression" priority="3405">
      <formula>WEEKDAY(#REF!,2)&gt;5</formula>
    </cfRule>
  </conditionalFormatting>
  <conditionalFormatting sqref="L127 N127">
    <cfRule type="expression" priority="3402">
      <formula>WEEKDAY(#REF!,2)&gt;5</formula>
    </cfRule>
  </conditionalFormatting>
  <conditionalFormatting sqref="L128 N128">
    <cfRule type="expression" priority="3401">
      <formula>WEEKDAY(#REF!,2)&gt;5</formula>
    </cfRule>
  </conditionalFormatting>
  <conditionalFormatting sqref="E129:I130">
    <cfRule type="expression" priority="252">
      <formula>WEEKDAY(C$3,2)&gt;5</formula>
    </cfRule>
  </conditionalFormatting>
  <conditionalFormatting sqref="L129 N129">
    <cfRule type="expression" priority="3404">
      <formula>WEEKDAY(#REF!,2)&gt;5</formula>
    </cfRule>
  </conditionalFormatting>
  <conditionalFormatting sqref="U129:Y130">
    <cfRule type="expression" priority="1220">
      <formula>WEEKDAY(#REF!,2)&gt;5</formula>
    </cfRule>
  </conditionalFormatting>
  <conditionalFormatting sqref="X129:Y130">
    <cfRule type="expression" priority="3040">
      <formula>WEEKDAY(#REF!,2)&gt;5</formula>
    </cfRule>
  </conditionalFormatting>
  <conditionalFormatting sqref="Z129:AA130">
    <cfRule type="expression" priority="1038">
      <formula>WEEKDAY(X$3,2)&gt;5</formula>
    </cfRule>
  </conditionalFormatting>
  <conditionalFormatting sqref="AB129:AF130">
    <cfRule type="expression" priority="856">
      <formula>WEEKDAY(#REF!,2)&gt;5</formula>
    </cfRule>
  </conditionalFormatting>
  <conditionalFormatting sqref="L131 N131">
    <cfRule type="expression" priority="3400">
      <formula>WEEKDAY(#REF!,2)&gt;5</formula>
    </cfRule>
  </conditionalFormatting>
  <conditionalFormatting sqref="L132 N132">
    <cfRule type="expression" priority="3399">
      <formula>WEEKDAY(#REF!,2)&gt;5</formula>
    </cfRule>
  </conditionalFormatting>
  <conditionalFormatting sqref="O132 Q132:R132">
    <cfRule type="expression" priority="1579">
      <formula>WEEKDAY(#REF!,2)&gt;5</formula>
    </cfRule>
  </conditionalFormatting>
  <conditionalFormatting sqref="U132:W132 Y132">
    <cfRule type="expression" priority="1215">
      <formula>WEEKDAY(#REF!,2)&gt;5</formula>
    </cfRule>
  </conditionalFormatting>
  <conditionalFormatting sqref="U133:V133 X133:Y133">
    <cfRule type="expression" priority="1214">
      <formula>WEEKDAY(#REF!,2)&gt;5</formula>
    </cfRule>
  </conditionalFormatting>
  <conditionalFormatting sqref="AB133 AD133:AF133">
    <cfRule type="expression" priority="850">
      <formula>WEEKDAY(#REF!,2)&gt;5</formula>
    </cfRule>
  </conditionalFormatting>
  <conditionalFormatting sqref="L134 N134">
    <cfRule type="expression" priority="3397">
      <formula>WEEKDAY(#REF!,2)&gt;5</formula>
    </cfRule>
  </conditionalFormatting>
  <conditionalFormatting sqref="AB134:AD134 AF134">
    <cfRule type="expression" priority="849">
      <formula>WEEKDAY(#REF!,2)&gt;5</formula>
    </cfRule>
  </conditionalFormatting>
  <conditionalFormatting sqref="L135 N135">
    <cfRule type="expression" priority="3396">
      <formula>WEEKDAY(#REF!,2)&gt;5</formula>
    </cfRule>
  </conditionalFormatting>
  <conditionalFormatting sqref="L136 N136">
    <cfRule type="expression" priority="3395">
      <formula>WEEKDAY(#REF!,2)&gt;5</formula>
    </cfRule>
  </conditionalFormatting>
  <conditionalFormatting sqref="L137 N137">
    <cfRule type="expression" priority="3394">
      <formula>WEEKDAY(#REF!,2)&gt;5</formula>
    </cfRule>
  </conditionalFormatting>
  <conditionalFormatting sqref="L138 N138">
    <cfRule type="expression" priority="3393">
      <formula>WEEKDAY(#REF!,2)&gt;5</formula>
    </cfRule>
  </conditionalFormatting>
  <conditionalFormatting sqref="AN138 AN177">
    <cfRule type="expression" priority="8303">
      <formula>WEEKDAY(#REF!,2)&gt;5</formula>
    </cfRule>
  </conditionalFormatting>
  <conditionalFormatting sqref="L139 N139">
    <cfRule type="expression" priority="3392">
      <formula>WEEKDAY(#REF!,2)&gt;5</formula>
    </cfRule>
  </conditionalFormatting>
  <conditionalFormatting sqref="L140 N140">
    <cfRule type="expression" priority="3391">
      <formula>WEEKDAY(#REF!,2)&gt;5</formula>
    </cfRule>
  </conditionalFormatting>
  <conditionalFormatting sqref="L141 N141">
    <cfRule type="expression" priority="3390">
      <formula>WEEKDAY(#REF!,2)&gt;5</formula>
    </cfRule>
  </conditionalFormatting>
  <conditionalFormatting sqref="L142 N142">
    <cfRule type="expression" priority="3389">
      <formula>WEEKDAY(#REF!,2)&gt;5</formula>
    </cfRule>
  </conditionalFormatting>
  <conditionalFormatting sqref="L143 N143">
    <cfRule type="expression" priority="3387">
      <formula>WEEKDAY(#REF!,2)&gt;5</formula>
    </cfRule>
  </conditionalFormatting>
  <conditionalFormatting sqref="L144 N144">
    <cfRule type="expression" priority="3386">
      <formula>WEEKDAY(#REF!,2)&gt;5</formula>
    </cfRule>
  </conditionalFormatting>
  <conditionalFormatting sqref="L145 N145">
    <cfRule type="expression" priority="3385">
      <formula>WEEKDAY(#REF!,2)&gt;5</formula>
    </cfRule>
  </conditionalFormatting>
  <conditionalFormatting sqref="L146 N146">
    <cfRule type="expression" priority="3384">
      <formula>WEEKDAY(#REF!,2)&gt;5</formula>
    </cfRule>
  </conditionalFormatting>
  <conditionalFormatting sqref="AB146:AD146 AF146">
    <cfRule type="expression" priority="836">
      <formula>WEEKDAY(#REF!,2)&gt;5</formula>
    </cfRule>
  </conditionalFormatting>
  <conditionalFormatting sqref="L147 N147">
    <cfRule type="expression" priority="3383">
      <formula>WEEKDAY(#REF!,2)&gt;5</formula>
    </cfRule>
  </conditionalFormatting>
  <conditionalFormatting sqref="B148 B150:B154">
    <cfRule type="duplicateValues" dxfId="1" priority="15454"/>
  </conditionalFormatting>
  <conditionalFormatting sqref="L148 N148">
    <cfRule type="expression" priority="3382">
      <formula>WEEKDAY(#REF!,2)&gt;5</formula>
    </cfRule>
  </conditionalFormatting>
  <conditionalFormatting sqref="L149 N149">
    <cfRule type="expression" priority="3381">
      <formula>WEEKDAY(#REF!,2)&gt;5</formula>
    </cfRule>
  </conditionalFormatting>
  <conditionalFormatting sqref="L150 N150">
    <cfRule type="expression" priority="3380">
      <formula>WEEKDAY(#REF!,2)&gt;5</formula>
    </cfRule>
  </conditionalFormatting>
  <conditionalFormatting sqref="L151 N151">
    <cfRule type="expression" priority="3379">
      <formula>WEEKDAY(#REF!,2)&gt;5</formula>
    </cfRule>
  </conditionalFormatting>
  <conditionalFormatting sqref="U151:V151 X151:Y151">
    <cfRule type="expression" priority="1195">
      <formula>WEEKDAY(#REF!,2)&gt;5</formula>
    </cfRule>
  </conditionalFormatting>
  <conditionalFormatting sqref="L152 N152">
    <cfRule type="expression" priority="3378">
      <formula>WEEKDAY(#REF!,2)&gt;5</formula>
    </cfRule>
  </conditionalFormatting>
  <conditionalFormatting sqref="L153 N153">
    <cfRule type="expression" priority="3377">
      <formula>WEEKDAY(#REF!,2)&gt;5</formula>
    </cfRule>
  </conditionalFormatting>
  <conditionalFormatting sqref="L154 N154">
    <cfRule type="expression" priority="3376">
      <formula>WEEKDAY(#REF!,2)&gt;5</formula>
    </cfRule>
  </conditionalFormatting>
  <conditionalFormatting sqref="L156 N156">
    <cfRule type="expression" priority="3374">
      <formula>WEEKDAY(#REF!,2)&gt;5</formula>
    </cfRule>
  </conditionalFormatting>
  <conditionalFormatting sqref="L157 N157">
    <cfRule type="expression" priority="3373">
      <formula>WEEKDAY(#REF!,2)&gt;5</formula>
    </cfRule>
  </conditionalFormatting>
  <conditionalFormatting sqref="D158:T159 D160:S160">
    <cfRule type="expression" priority="300">
      <formula>WEEKDAY(#REF!,2)&gt;5</formula>
    </cfRule>
  </conditionalFormatting>
  <conditionalFormatting sqref="B162 B165:B166">
    <cfRule type="duplicateValues" dxfId="1" priority="15421"/>
  </conditionalFormatting>
  <conditionalFormatting sqref="L162 N162">
    <cfRule type="expression" priority="3369">
      <formula>WEEKDAY(#REF!,2)&gt;5</formula>
    </cfRule>
  </conditionalFormatting>
  <conditionalFormatting sqref="L163 N163">
    <cfRule type="expression" priority="3368">
      <formula>WEEKDAY(#REF!,2)&gt;5</formula>
    </cfRule>
  </conditionalFormatting>
  <conditionalFormatting sqref="L164 N164">
    <cfRule type="expression" priority="3367">
      <formula>WEEKDAY(#REF!,2)&gt;5</formula>
    </cfRule>
  </conditionalFormatting>
  <conditionalFormatting sqref="L165 N165">
    <cfRule type="expression" priority="3366">
      <formula>WEEKDAY(#REF!,2)&gt;5</formula>
    </cfRule>
  </conditionalFormatting>
  <conditionalFormatting sqref="L167 N167">
    <cfRule type="expression" priority="3364">
      <formula>WEEKDAY(#REF!,2)&gt;5</formula>
    </cfRule>
  </conditionalFormatting>
  <conditionalFormatting sqref="AD168 AF168">
    <cfRule type="expression" priority="194">
      <formula>WEEKDAY(#REF!,2)&gt;5</formula>
    </cfRule>
  </conditionalFormatting>
  <conditionalFormatting sqref="L170 N170">
    <cfRule type="expression" priority="3361">
      <formula>WEEKDAY(#REF!,2)&gt;5</formula>
    </cfRule>
  </conditionalFormatting>
  <conditionalFormatting sqref="L172 N172">
    <cfRule type="expression" priority="3359">
      <formula>WEEKDAY(#REF!,2)&gt;5</formula>
    </cfRule>
  </conditionalFormatting>
  <conditionalFormatting sqref="V172:W172 Y172">
    <cfRule type="expression" priority="1175">
      <formula>WEEKDAY(#REF!,2)&gt;5</formula>
    </cfRule>
  </conditionalFormatting>
  <conditionalFormatting sqref="B174 B179 B182:B183">
    <cfRule type="duplicateValues" dxfId="1" priority="15532"/>
  </conditionalFormatting>
  <conditionalFormatting sqref="L174 N174">
    <cfRule type="expression" priority="3356">
      <formula>WEEKDAY(#REF!,2)&gt;5</formula>
    </cfRule>
  </conditionalFormatting>
  <conditionalFormatting sqref="L175 N175">
    <cfRule type="expression" priority="3355">
      <formula>WEEKDAY(#REF!,2)&gt;5</formula>
    </cfRule>
  </conditionalFormatting>
  <conditionalFormatting sqref="AN175:AN176 AN179">
    <cfRule type="expression" priority="8297">
      <formula>WEEKDAY(#REF!,2)&gt;5</formula>
    </cfRule>
  </conditionalFormatting>
  <conditionalFormatting sqref="L176 N176">
    <cfRule type="expression" priority="3354">
      <formula>WEEKDAY(#REF!,2)&gt;5</formula>
    </cfRule>
  </conditionalFormatting>
  <conditionalFormatting sqref="O177:P177 R177">
    <cfRule type="expression" priority="1533">
      <formula>WEEKDAY(#REF!,2)&gt;5</formula>
    </cfRule>
  </conditionalFormatting>
  <conditionalFormatting sqref="L178 N178">
    <cfRule type="expression" priority="3352">
      <formula>WEEKDAY(#REF!,2)&gt;5</formula>
    </cfRule>
  </conditionalFormatting>
  <conditionalFormatting sqref="AB178:AD178 AF178">
    <cfRule type="expression" priority="804">
      <formula>WEEKDAY(#REF!,2)&gt;5</formula>
    </cfRule>
  </conditionalFormatting>
  <conditionalFormatting sqref="L179 N179">
    <cfRule type="expression" priority="3351">
      <formula>WEEKDAY(#REF!,2)&gt;5</formula>
    </cfRule>
  </conditionalFormatting>
  <conditionalFormatting sqref="L180 N180">
    <cfRule type="expression" priority="3350">
      <formula>WEEKDAY(#REF!,2)&gt;5</formula>
    </cfRule>
  </conditionalFormatting>
  <conditionalFormatting sqref="L181 N181">
    <cfRule type="expression" priority="3349">
      <formula>WEEKDAY(#REF!,2)&gt;5</formula>
    </cfRule>
  </conditionalFormatting>
  <conditionalFormatting sqref="U181 W181:Y181">
    <cfRule type="expression" priority="1165">
      <formula>WEEKDAY(#REF!,2)&gt;5</formula>
    </cfRule>
  </conditionalFormatting>
  <conditionalFormatting sqref="L182 N182">
    <cfRule type="expression" priority="3348">
      <formula>WEEKDAY(#REF!,2)&gt;5</formula>
    </cfRule>
  </conditionalFormatting>
  <conditionalFormatting sqref="O182 Q182:R182">
    <cfRule type="expression" priority="1528">
      <formula>WEEKDAY(#REF!,2)&gt;5</formula>
    </cfRule>
  </conditionalFormatting>
  <conditionalFormatting sqref="L184 N184">
    <cfRule type="expression" priority="3346">
      <formula>WEEKDAY(#REF!,2)&gt;5</formula>
    </cfRule>
  </conditionalFormatting>
  <conditionalFormatting sqref="L186 N186">
    <cfRule type="expression" priority="3344">
      <formula>WEEKDAY(#REF!,2)&gt;5</formula>
    </cfRule>
  </conditionalFormatting>
  <conditionalFormatting sqref="L187 N187">
    <cfRule type="expression" priority="3343">
      <formula>WEEKDAY(#REF!,2)&gt;5</formula>
    </cfRule>
  </conditionalFormatting>
  <conditionalFormatting sqref="AB187:AD187 AF187">
    <cfRule type="expression" priority="795">
      <formula>WEEKDAY(#REF!,2)&gt;5</formula>
    </cfRule>
  </conditionalFormatting>
  <conditionalFormatting sqref="L188 N188">
    <cfRule type="expression" priority="3342">
      <formula>WEEKDAY(#REF!,2)&gt;5</formula>
    </cfRule>
  </conditionalFormatting>
  <conditionalFormatting sqref="L189 N189">
    <cfRule type="expression" priority="3341">
      <formula>WEEKDAY(#REF!,2)&gt;5</formula>
    </cfRule>
  </conditionalFormatting>
  <conditionalFormatting sqref="L190 N190">
    <cfRule type="expression" priority="3340">
      <formula>WEEKDAY(#REF!,2)&gt;5</formula>
    </cfRule>
  </conditionalFormatting>
  <conditionalFormatting sqref="L191 N191">
    <cfRule type="expression" priority="3339">
      <formula>WEEKDAY(#REF!,2)&gt;5</formula>
    </cfRule>
  </conditionalFormatting>
  <conditionalFormatting sqref="L192 N192">
    <cfRule type="expression" priority="3338">
      <formula>WEEKDAY(#REF!,2)&gt;5</formula>
    </cfRule>
  </conditionalFormatting>
  <conditionalFormatting sqref="L193 N193">
    <cfRule type="expression" priority="3337">
      <formula>WEEKDAY(#REF!,2)&gt;5</formula>
    </cfRule>
  </conditionalFormatting>
  <conditionalFormatting sqref="L194 N194">
    <cfRule type="expression" priority="3336">
      <formula>WEEKDAY(#REF!,2)&gt;5</formula>
    </cfRule>
  </conditionalFormatting>
  <conditionalFormatting sqref="L195 N195">
    <cfRule type="expression" priority="3335">
      <formula>WEEKDAY(#REF!,2)&gt;5</formula>
    </cfRule>
  </conditionalFormatting>
  <conditionalFormatting sqref="L196 N196">
    <cfRule type="expression" priority="3334">
      <formula>WEEKDAY(#REF!,2)&gt;5</formula>
    </cfRule>
  </conditionalFormatting>
  <conditionalFormatting sqref="L197 N197">
    <cfRule type="expression" priority="3333">
      <formula>WEEKDAY(#REF!,2)&gt;5</formula>
    </cfRule>
  </conditionalFormatting>
  <conditionalFormatting sqref="L198 N198">
    <cfRule type="expression" priority="3332">
      <formula>WEEKDAY(#REF!,2)&gt;5</formula>
    </cfRule>
  </conditionalFormatting>
  <conditionalFormatting sqref="L199 N199">
    <cfRule type="expression" priority="3331">
      <formula>WEEKDAY(#REF!,2)&gt;5</formula>
    </cfRule>
  </conditionalFormatting>
  <conditionalFormatting sqref="AM199:AN200">
    <cfRule type="expression" priority="8292">
      <formula>WEEKDAY(#REF!,2)&gt;5</formula>
    </cfRule>
  </conditionalFormatting>
  <conditionalFormatting sqref="L200 N200">
    <cfRule type="expression" priority="3330">
      <formula>WEEKDAY(#REF!,2)&gt;5</formula>
    </cfRule>
  </conditionalFormatting>
  <conditionalFormatting sqref="G202 K202:R202 Y202:AC202 G203 K203:T203 AB203:AC203 G204 K204:AC204 G205 K205:AC205 G206 N206:AC206 G207 K207:T207 L208:R208 G209 K209:AC209 G210 K210:AB210 G211 K211:AC211 G212 K212:U212 Z212:AC212 G213:G216 K213:V216 X213:AC216 G217:G1048576 K217:AC1048576">
    <cfRule type="expression" priority="15567">
      <formula>WEEKDAY(E$3,2)&gt;5</formula>
    </cfRule>
  </conditionalFormatting>
  <conditionalFormatting sqref="H202:H207 H209 H213:H1048576">
    <cfRule type="expression" priority="15569">
      <formula>WEEKDAY(D$3,2)&gt;5</formula>
    </cfRule>
  </conditionalFormatting>
  <conditionalFormatting sqref="AD202:AH202 AD209:AH209 AD211:AH1048576">
    <cfRule type="expression" priority="15464">
      <formula>WEEKDAY(W$3,2)&gt;5</formula>
    </cfRule>
  </conditionalFormatting>
  <conditionalFormatting sqref="AI202:AL202 AI209:AL209 AI211:AL1048576">
    <cfRule type="expression" priority="15439">
      <formula>WEEKDAY(AA$3,2)&gt;5</formula>
    </cfRule>
  </conditionalFormatting>
  <conditionalFormatting sqref="AM202 AM209 AM211:AM1048576">
    <cfRule type="expression" priority="15579">
      <formula>WEEKDAY(#REF!,2)&gt;5</formula>
    </cfRule>
  </conditionalFormatting>
  <conditionalFormatting sqref="AN202:AO202 AN212:AO1048576">
    <cfRule type="expression" priority="15575">
      <formula>WEEKDAY(#REF!,2)&gt;5</formula>
    </cfRule>
  </conditionalFormatting>
  <conditionalFormatting sqref="AP202 AP212:AP1048576">
    <cfRule type="expression" priority="15574">
      <formula>WEEKDAY(#REF!,2)&gt;5</formula>
    </cfRule>
  </conditionalFormatting>
  <conditionalFormatting sqref="AQ202:AR202 AQ209:AR209 AQ211:AR1048576">
    <cfRule type="expression" priority="15572">
      <formula>WEEKDAY(AI$2,2)&gt;5</formula>
    </cfRule>
  </conditionalFormatting>
  <conditionalFormatting sqref="AS202 AS209 AS211:AS1048576">
    <cfRule type="expression" priority="15578">
      <formula>WEEKDAY(AJ$2,2)&gt;5</formula>
    </cfRule>
  </conditionalFormatting>
  <conditionalFormatting sqref="AT202 AT209 AT211:AT1048576">
    <cfRule type="expression" priority="15573">
      <formula>WEEKDAY(AJ$2,2)&gt;5</formula>
    </cfRule>
  </conditionalFormatting>
  <conditionalFormatting sqref="AI203:AK203 AM203:AT203">
    <cfRule type="expression" priority="15436">
      <formula>WEEKDAY(#REF!,2)&gt;5</formula>
    </cfRule>
  </conditionalFormatting>
  <conditionalFormatting sqref="AD204:AH206">
    <cfRule type="expression" priority="15463">
      <formula>WEEKDAY(#REF!,2)&gt;5</formula>
    </cfRule>
  </conditionalFormatting>
  <conditionalFormatting sqref="AI204:AT206">
    <cfRule type="expression" priority="15438">
      <formula>WEEKDAY(#REF!,2)&gt;5</formula>
    </cfRule>
  </conditionalFormatting>
  <conditionalFormatting sqref="AI208:AM208 AQ208:AT208">
    <cfRule type="expression" priority="15434">
      <formula>WEEKDAY(#REF!,2)&gt;5</formula>
    </cfRule>
  </conditionalFormatting>
  <conditionalFormatting sqref="AI210:AM210 AQ210:AT210">
    <cfRule type="expression" priority="15437">
      <formula>WEEKDAY(#REF!,2)&gt;5</formula>
    </cfRule>
  </conditionalFormatting>
  <pageMargins left="0.196527777777778" right="0.0784722222222222" top="0.156944444444444" bottom="0.275" header="0.314583333333333" footer="0.118055555555556"/>
  <pageSetup paperSize="9" scale="50" fitToHeight="0" orientation="landscape" horizontalDpi="600"/>
  <headerFooter>
    <oddFooter>&amp;C第 &amp;P 页，共 &amp;N 页</oddFooter>
  </headerFooter>
  <rowBreaks count="8" manualBreakCount="8">
    <brk id="29" max="46" man="1"/>
    <brk id="53" max="46" man="1"/>
    <brk id="76" max="46" man="1"/>
    <brk id="101" max="46" man="1"/>
    <brk id="124" max="46" man="1"/>
    <brk id="148" max="46" man="1"/>
    <brk id="196" max="46" man="1"/>
    <brk id="204" max="16383" man="1"/>
  </row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F131"/>
  <sheetViews>
    <sheetView zoomScale="80" zoomScaleNormal="80" workbookViewId="0">
      <pane xSplit="1" ySplit="2" topLeftCell="B90" activePane="bottomRight" state="frozen"/>
      <selection/>
      <selection pane="topRight"/>
      <selection pane="bottomLeft"/>
      <selection pane="bottomRight" activeCell="AA99" sqref="AA99"/>
    </sheetView>
  </sheetViews>
  <sheetFormatPr defaultColWidth="9" defaultRowHeight="50" customHeight="1"/>
  <cols>
    <col min="1" max="1" width="14.3666666666667" style="5" customWidth="1"/>
    <col min="2" max="32" width="7.34166666666667" style="5" customWidth="1"/>
    <col min="33" max="33" width="10.1583333333333" style="37" customWidth="1"/>
    <col min="34" max="34" width="8.74166666666667" style="5" customWidth="1"/>
    <col min="35" max="35" width="15" style="38" customWidth="1"/>
    <col min="36" max="37" width="9" style="5" customWidth="1"/>
    <col min="38" max="38" width="14.3666666666667" style="5" customWidth="1"/>
    <col min="39" max="39" width="11.8916666666667" style="5" customWidth="1"/>
    <col min="40" max="40" width="9" style="5" customWidth="1"/>
    <col min="41" max="41" width="14.3666666666667" style="5" customWidth="1"/>
    <col min="42" max="42" width="11.8833333333333" style="5" customWidth="1"/>
    <col min="43" max="43" width="9" style="5"/>
    <col min="44" max="44" width="13.4333333333333" style="4" customWidth="1"/>
    <col min="45" max="45" width="10.3833333333333" style="5"/>
    <col min="46" max="46" width="9.38333333333333" style="5"/>
    <col min="47" max="47" width="9" style="5"/>
    <col min="48" max="48" width="12.9583333333333" style="5" customWidth="1"/>
    <col min="49" max="49" width="9" style="5"/>
    <col min="50" max="50" width="10.3833333333333" style="5"/>
    <col min="51" max="51" width="9" style="5"/>
    <col min="52" max="52" width="10.3833333333333" style="5"/>
    <col min="53" max="16384" width="9" style="5"/>
  </cols>
  <sheetData>
    <row r="1" s="33" customFormat="1" ht="47" customHeight="1" spans="1:52">
      <c r="A1" s="39" t="s">
        <v>404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40"/>
      <c r="AI1" s="41"/>
      <c r="AL1" s="39"/>
      <c r="AO1" s="39"/>
      <c r="AR1" s="42"/>
    </row>
    <row r="2" s="34" customFormat="1" customHeight="1" spans="1:52">
      <c r="A2" s="43" t="s">
        <v>405</v>
      </c>
      <c r="B2" s="44">
        <v>46143</v>
      </c>
      <c r="C2" s="44">
        <v>46144</v>
      </c>
      <c r="D2" s="44">
        <v>46145</v>
      </c>
      <c r="E2" s="44">
        <v>46146</v>
      </c>
      <c r="F2" s="44">
        <v>46147</v>
      </c>
      <c r="G2" s="45">
        <v>46148</v>
      </c>
      <c r="H2" s="45">
        <v>46149</v>
      </c>
      <c r="I2" s="45">
        <v>46150</v>
      </c>
      <c r="J2" s="45">
        <v>46151</v>
      </c>
      <c r="K2" s="44">
        <v>46152</v>
      </c>
      <c r="L2" s="45">
        <v>46153</v>
      </c>
      <c r="M2" s="45">
        <v>46154</v>
      </c>
      <c r="N2" s="45">
        <v>46155</v>
      </c>
      <c r="O2" s="45">
        <v>46156</v>
      </c>
      <c r="P2" s="45">
        <v>46157</v>
      </c>
      <c r="Q2" s="44">
        <v>46158</v>
      </c>
      <c r="R2" s="44">
        <v>46159</v>
      </c>
      <c r="S2" s="45">
        <v>46160</v>
      </c>
      <c r="T2" s="45">
        <v>46161</v>
      </c>
      <c r="U2" s="45">
        <v>46162</v>
      </c>
      <c r="V2" s="45">
        <v>46163</v>
      </c>
      <c r="W2" s="45">
        <v>46164</v>
      </c>
      <c r="X2" s="44">
        <v>46165</v>
      </c>
      <c r="Y2" s="44">
        <v>46166</v>
      </c>
      <c r="Z2" s="45">
        <v>46167</v>
      </c>
      <c r="AA2" s="45">
        <v>46168</v>
      </c>
      <c r="AB2" s="45">
        <v>46169</v>
      </c>
      <c r="AC2" s="45">
        <v>46170</v>
      </c>
      <c r="AD2" s="45">
        <v>46171</v>
      </c>
      <c r="AE2" s="44">
        <v>46172</v>
      </c>
      <c r="AF2" s="44">
        <v>46173</v>
      </c>
      <c r="AG2" s="46" t="s">
        <v>406</v>
      </c>
      <c r="AH2" s="47" t="s">
        <v>407</v>
      </c>
      <c r="AI2" s="48" t="s">
        <v>408</v>
      </c>
      <c r="AJ2" s="49"/>
      <c r="AL2" s="50" t="s">
        <v>409</v>
      </c>
      <c r="AM2" s="34" t="s">
        <v>410</v>
      </c>
      <c r="AO2" s="50" t="s">
        <v>409</v>
      </c>
      <c r="AP2" s="34" t="s">
        <v>411</v>
      </c>
      <c r="AR2" s="50" t="s">
        <v>409</v>
      </c>
      <c r="AS2" s="34" t="s">
        <v>412</v>
      </c>
      <c r="AT2" s="51"/>
      <c r="AV2" s="34" t="s">
        <v>413</v>
      </c>
      <c r="AX2" s="34" t="s">
        <v>414</v>
      </c>
      <c r="AZ2" s="34" t="s">
        <v>415</v>
      </c>
    </row>
    <row r="3" s="35" customFormat="1" ht="44" customHeight="1" spans="1:52">
      <c r="A3" s="52" t="s">
        <v>194</v>
      </c>
      <c r="B3" s="52"/>
      <c r="C3" s="52"/>
      <c r="D3" s="52"/>
      <c r="E3" s="52"/>
      <c r="F3" s="52"/>
      <c r="G3" s="52"/>
      <c r="H3" s="52">
        <v>3.5</v>
      </c>
      <c r="I3" s="52"/>
      <c r="J3" s="52"/>
      <c r="K3" s="52"/>
      <c r="L3" s="52"/>
      <c r="M3" s="52">
        <v>3</v>
      </c>
      <c r="N3" s="52">
        <v>3</v>
      </c>
      <c r="O3" s="52"/>
      <c r="P3" s="52"/>
      <c r="Q3" s="52"/>
      <c r="R3" s="52"/>
      <c r="S3" s="52"/>
      <c r="T3" s="52"/>
      <c r="U3" s="52"/>
      <c r="V3" s="52">
        <v>3.5</v>
      </c>
      <c r="W3" s="52"/>
      <c r="X3" s="52"/>
      <c r="Y3" s="52"/>
      <c r="Z3" s="52"/>
      <c r="AA3" s="52"/>
      <c r="AB3" s="52">
        <v>3</v>
      </c>
      <c r="AC3" s="52"/>
      <c r="AD3" s="52">
        <v>1.5</v>
      </c>
      <c r="AE3" s="52"/>
      <c r="AF3" s="52"/>
      <c r="AG3" s="46">
        <f t="shared" ref="AG3:AG8" si="0">SUM(B3:AF3)</f>
        <v>17.5</v>
      </c>
      <c r="AH3" s="53">
        <v>25</v>
      </c>
      <c r="AI3" s="54">
        <f t="shared" ref="AI3:AI8" si="1">AG3*AH3</f>
        <v>437.5</v>
      </c>
      <c r="AL3" s="52" t="s">
        <v>194</v>
      </c>
      <c r="AM3" s="55">
        <f t="shared" ref="AM3:AM8" si="2">AI3</f>
        <v>437.5</v>
      </c>
      <c r="AO3" s="52"/>
      <c r="AP3" s="55"/>
      <c r="AR3" s="52"/>
      <c r="AS3" s="55"/>
      <c r="AV3" s="35">
        <f t="shared" ref="AV3:AV7" si="3">AM3-AI3</f>
        <v>0</v>
      </c>
    </row>
    <row r="4" s="35" customFormat="1" ht="44" customHeight="1" spans="1:52">
      <c r="A4" s="56" t="s">
        <v>416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>
        <v>12.5</v>
      </c>
      <c r="S4" s="52"/>
      <c r="T4" s="52"/>
      <c r="U4" s="52"/>
      <c r="V4" s="52"/>
      <c r="W4" s="52"/>
      <c r="X4" s="52"/>
      <c r="Y4" s="52">
        <v>9</v>
      </c>
      <c r="Z4" s="52"/>
      <c r="AA4" s="52"/>
      <c r="AB4" s="52"/>
      <c r="AC4" s="52"/>
      <c r="AD4" s="52"/>
      <c r="AE4" s="52"/>
      <c r="AF4" s="52">
        <v>12</v>
      </c>
      <c r="AG4" s="46">
        <f t="shared" si="0"/>
        <v>33.5</v>
      </c>
      <c r="AH4" s="53">
        <v>40</v>
      </c>
      <c r="AI4" s="54">
        <f t="shared" si="1"/>
        <v>1340</v>
      </c>
      <c r="AL4" s="56"/>
      <c r="AM4" s="55"/>
      <c r="AO4" s="56" t="s">
        <v>194</v>
      </c>
      <c r="AP4" s="55">
        <f>AI4</f>
        <v>1340</v>
      </c>
      <c r="AR4" s="52"/>
      <c r="AS4" s="55"/>
      <c r="AX4" s="35">
        <f>AP4-AI4</f>
        <v>0</v>
      </c>
    </row>
    <row r="5" s="35" customFormat="1" ht="44" customHeight="1" spans="1:52">
      <c r="A5" s="52" t="s">
        <v>201</v>
      </c>
      <c r="B5" s="52"/>
      <c r="C5" s="52"/>
      <c r="D5" s="52"/>
      <c r="E5" s="46"/>
      <c r="F5" s="46"/>
      <c r="G5" s="46">
        <v>3</v>
      </c>
      <c r="H5" s="46"/>
      <c r="I5" s="46">
        <v>3</v>
      </c>
      <c r="J5" s="46">
        <v>3</v>
      </c>
      <c r="K5" s="46"/>
      <c r="L5" s="46">
        <v>3</v>
      </c>
      <c r="M5" s="46">
        <v>3</v>
      </c>
      <c r="N5" s="46"/>
      <c r="O5" s="46">
        <v>2.5</v>
      </c>
      <c r="P5" s="46"/>
      <c r="Q5" s="46"/>
      <c r="R5" s="46"/>
      <c r="S5" s="52">
        <v>3</v>
      </c>
      <c r="T5" s="52"/>
      <c r="U5" s="46">
        <v>3</v>
      </c>
      <c r="V5" s="46">
        <v>3</v>
      </c>
      <c r="W5" s="46"/>
      <c r="X5" s="46"/>
      <c r="Y5" s="46"/>
      <c r="Z5" s="46"/>
      <c r="AA5" s="52">
        <v>3</v>
      </c>
      <c r="AB5" s="52"/>
      <c r="AC5" s="52">
        <v>3</v>
      </c>
      <c r="AD5" s="52"/>
      <c r="AE5" s="52"/>
      <c r="AF5" s="52"/>
      <c r="AG5" s="46">
        <f t="shared" si="0"/>
        <v>32.5</v>
      </c>
      <c r="AH5" s="53">
        <v>25</v>
      </c>
      <c r="AI5" s="54">
        <f t="shared" si="1"/>
        <v>812.5</v>
      </c>
      <c r="AL5" s="52" t="s">
        <v>201</v>
      </c>
      <c r="AM5" s="55">
        <f t="shared" si="2"/>
        <v>812.5</v>
      </c>
      <c r="AN5" s="52"/>
      <c r="AO5" s="52"/>
      <c r="AP5" s="55"/>
      <c r="AR5" s="52"/>
      <c r="AS5" s="55"/>
      <c r="AV5" s="35">
        <f t="shared" si="3"/>
        <v>0</v>
      </c>
    </row>
    <row r="6" s="35" customFormat="1" ht="44" customHeight="1" spans="1:52">
      <c r="A6" s="56" t="s">
        <v>417</v>
      </c>
      <c r="B6" s="52"/>
      <c r="C6" s="52"/>
      <c r="D6" s="52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>
        <v>11.5</v>
      </c>
      <c r="R6" s="46"/>
      <c r="S6" s="52"/>
      <c r="T6" s="52"/>
      <c r="U6" s="46"/>
      <c r="V6" s="46"/>
      <c r="W6" s="46"/>
      <c r="X6" s="46"/>
      <c r="Y6" s="46">
        <v>8.5</v>
      </c>
      <c r="Z6" s="46"/>
      <c r="AA6" s="52"/>
      <c r="AB6" s="52"/>
      <c r="AC6" s="52"/>
      <c r="AD6" s="52"/>
      <c r="AE6" s="52"/>
      <c r="AF6" s="52">
        <v>6</v>
      </c>
      <c r="AG6" s="46">
        <f t="shared" si="0"/>
        <v>26</v>
      </c>
      <c r="AH6" s="53">
        <v>40</v>
      </c>
      <c r="AI6" s="54">
        <f t="shared" si="1"/>
        <v>1040</v>
      </c>
      <c r="AL6" s="56"/>
      <c r="AM6" s="55"/>
      <c r="AN6" s="57"/>
      <c r="AO6" s="56" t="s">
        <v>201</v>
      </c>
      <c r="AP6" s="55">
        <f>AI6</f>
        <v>1040</v>
      </c>
      <c r="AR6" s="52"/>
      <c r="AS6" s="55"/>
      <c r="AX6" s="35">
        <f>AP6-AI6</f>
        <v>0</v>
      </c>
    </row>
    <row r="7" s="35" customFormat="1" ht="44" customHeight="1" spans="1:52">
      <c r="A7" s="52" t="s">
        <v>375</v>
      </c>
      <c r="B7" s="52"/>
      <c r="C7" s="52"/>
      <c r="D7" s="52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>
        <v>3.5</v>
      </c>
      <c r="Q7" s="46"/>
      <c r="R7" s="46"/>
      <c r="S7" s="52">
        <v>2</v>
      </c>
      <c r="T7" s="52"/>
      <c r="U7" s="46"/>
      <c r="V7" s="46">
        <v>3</v>
      </c>
      <c r="W7" s="46"/>
      <c r="X7" s="46"/>
      <c r="Y7" s="46"/>
      <c r="Z7" s="46"/>
      <c r="AA7" s="52"/>
      <c r="AB7" s="52"/>
      <c r="AC7" s="52"/>
      <c r="AD7" s="52"/>
      <c r="AE7" s="52"/>
      <c r="AF7" s="52"/>
      <c r="AG7" s="46">
        <f t="shared" si="0"/>
        <v>8.5</v>
      </c>
      <c r="AH7" s="53">
        <v>25</v>
      </c>
      <c r="AI7" s="54">
        <f t="shared" si="1"/>
        <v>212.5</v>
      </c>
      <c r="AL7" s="58" t="s">
        <v>375</v>
      </c>
      <c r="AM7" s="55">
        <f t="shared" si="2"/>
        <v>212.5</v>
      </c>
      <c r="AN7" s="57"/>
      <c r="AO7" s="55"/>
      <c r="AP7" s="55"/>
      <c r="AR7" s="52"/>
      <c r="AS7" s="55"/>
      <c r="AV7" s="35">
        <f>AM7-AI7</f>
        <v>0</v>
      </c>
    </row>
    <row r="8" s="35" customFormat="1" ht="44" customHeight="1" spans="1:52">
      <c r="A8" s="52" t="s">
        <v>196</v>
      </c>
      <c r="B8" s="52"/>
      <c r="C8" s="52"/>
      <c r="D8" s="52"/>
      <c r="E8" s="46"/>
      <c r="F8" s="46"/>
      <c r="G8" s="46"/>
      <c r="H8" s="46"/>
      <c r="I8" s="46">
        <v>3</v>
      </c>
      <c r="J8" s="46"/>
      <c r="K8" s="46"/>
      <c r="L8" s="46">
        <v>1</v>
      </c>
      <c r="M8" s="46"/>
      <c r="N8" s="46"/>
      <c r="O8" s="46">
        <v>2</v>
      </c>
      <c r="P8" s="46"/>
      <c r="Q8" s="46"/>
      <c r="R8" s="46"/>
      <c r="S8" s="52"/>
      <c r="T8" s="52"/>
      <c r="U8" s="46"/>
      <c r="V8" s="46">
        <v>3</v>
      </c>
      <c r="W8" s="46"/>
      <c r="X8" s="46"/>
      <c r="Y8" s="46"/>
      <c r="Z8" s="46">
        <v>3</v>
      </c>
      <c r="AA8" s="52">
        <v>3</v>
      </c>
      <c r="AB8" s="52"/>
      <c r="AC8" s="52">
        <v>3</v>
      </c>
      <c r="AD8" s="52"/>
      <c r="AE8" s="52"/>
      <c r="AF8" s="52"/>
      <c r="AG8" s="46">
        <f t="shared" si="0"/>
        <v>18</v>
      </c>
      <c r="AH8" s="53">
        <v>25</v>
      </c>
      <c r="AI8" s="54">
        <f t="shared" si="1"/>
        <v>450</v>
      </c>
      <c r="AL8" s="52" t="s">
        <v>196</v>
      </c>
      <c r="AM8" s="55">
        <f t="shared" si="2"/>
        <v>450</v>
      </c>
      <c r="AO8" s="52"/>
      <c r="AP8" s="55"/>
      <c r="AR8" s="52"/>
      <c r="AS8" s="55"/>
      <c r="AV8" s="35">
        <f>AM8-AI8</f>
        <v>0</v>
      </c>
    </row>
    <row r="9" s="35" customFormat="1" ht="44" customHeight="1" spans="1:52">
      <c r="A9" s="56" t="s">
        <v>418</v>
      </c>
      <c r="B9" s="52"/>
      <c r="C9" s="52"/>
      <c r="D9" s="52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>
        <v>11</v>
      </c>
      <c r="S9" s="52"/>
      <c r="T9" s="52"/>
      <c r="U9" s="46"/>
      <c r="V9" s="46"/>
      <c r="W9" s="46"/>
      <c r="X9" s="46"/>
      <c r="Y9" s="46"/>
      <c r="Z9" s="46"/>
      <c r="AA9" s="52"/>
      <c r="AB9" s="52"/>
      <c r="AC9" s="52"/>
      <c r="AD9" s="52"/>
      <c r="AE9" s="52">
        <v>6</v>
      </c>
      <c r="AF9" s="52"/>
      <c r="AG9" s="46">
        <f t="shared" ref="AG9:AG23" si="4">SUM(B9:AF9)</f>
        <v>17</v>
      </c>
      <c r="AH9" s="53">
        <v>40</v>
      </c>
      <c r="AI9" s="54">
        <f t="shared" ref="AI9:AI42" si="5">AG9*AH9</f>
        <v>680</v>
      </c>
      <c r="AL9" s="56"/>
      <c r="AM9" s="55"/>
      <c r="AO9" s="56" t="s">
        <v>196</v>
      </c>
      <c r="AP9" s="55">
        <f>AI9</f>
        <v>680</v>
      </c>
      <c r="AR9" s="52"/>
      <c r="AS9" s="55"/>
      <c r="AX9" s="35">
        <f>AP9-AI9</f>
        <v>0</v>
      </c>
    </row>
    <row r="10" s="35" customFormat="1" ht="44" customHeight="1" spans="1:52">
      <c r="A10" s="52" t="s">
        <v>198</v>
      </c>
      <c r="B10" s="52"/>
      <c r="C10" s="52"/>
      <c r="D10" s="52"/>
      <c r="E10" s="52"/>
      <c r="F10" s="52"/>
      <c r="G10" s="52">
        <v>3</v>
      </c>
      <c r="H10" s="46"/>
      <c r="I10" s="46">
        <v>3</v>
      </c>
      <c r="J10" s="46"/>
      <c r="K10" s="46"/>
      <c r="L10" s="46"/>
      <c r="M10" s="46">
        <v>3</v>
      </c>
      <c r="N10" s="46">
        <v>3</v>
      </c>
      <c r="O10" s="46"/>
      <c r="P10" s="46">
        <v>3</v>
      </c>
      <c r="Q10" s="46"/>
      <c r="R10" s="46"/>
      <c r="S10" s="52"/>
      <c r="T10" s="52">
        <v>3</v>
      </c>
      <c r="U10" s="46">
        <v>2</v>
      </c>
      <c r="V10" s="46"/>
      <c r="W10" s="46">
        <v>3</v>
      </c>
      <c r="X10" s="46"/>
      <c r="Y10" s="46"/>
      <c r="Z10" s="52">
        <v>3</v>
      </c>
      <c r="AA10" s="52"/>
      <c r="AB10" s="52">
        <v>3</v>
      </c>
      <c r="AC10" s="52"/>
      <c r="AD10" s="52">
        <v>3</v>
      </c>
      <c r="AE10" s="52"/>
      <c r="AF10" s="52"/>
      <c r="AG10" s="46">
        <f t="shared" si="4"/>
        <v>32</v>
      </c>
      <c r="AH10" s="53">
        <v>25</v>
      </c>
      <c r="AI10" s="54">
        <f t="shared" si="5"/>
        <v>800</v>
      </c>
      <c r="AL10" s="52" t="s">
        <v>198</v>
      </c>
      <c r="AM10" s="55">
        <f t="shared" ref="AM10:AM14" si="6">AI10</f>
        <v>800</v>
      </c>
      <c r="AO10" s="52"/>
      <c r="AP10" s="55"/>
      <c r="AR10" s="52"/>
      <c r="AS10" s="55"/>
      <c r="AV10" s="35">
        <f t="shared" ref="AV10:AV15" si="7">AM10-AI10</f>
        <v>0</v>
      </c>
    </row>
    <row r="11" s="35" customFormat="1" ht="44" customHeight="1" spans="1:52">
      <c r="A11" s="56" t="s">
        <v>419</v>
      </c>
      <c r="B11" s="52"/>
      <c r="C11" s="52"/>
      <c r="D11" s="52"/>
      <c r="E11" s="52"/>
      <c r="F11" s="52"/>
      <c r="G11" s="52"/>
      <c r="H11" s="46"/>
      <c r="I11" s="46"/>
      <c r="J11" s="46"/>
      <c r="K11" s="46">
        <v>12</v>
      </c>
      <c r="L11" s="46"/>
      <c r="M11" s="46"/>
      <c r="N11" s="46"/>
      <c r="O11" s="46"/>
      <c r="P11" s="46"/>
      <c r="Q11" s="46"/>
      <c r="R11" s="46">
        <v>12</v>
      </c>
      <c r="S11" s="52"/>
      <c r="T11" s="52"/>
      <c r="U11" s="46"/>
      <c r="V11" s="46"/>
      <c r="W11" s="46"/>
      <c r="X11" s="46">
        <v>12</v>
      </c>
      <c r="Y11" s="46"/>
      <c r="Z11" s="52"/>
      <c r="AA11" s="52"/>
      <c r="AB11" s="52"/>
      <c r="AC11" s="52"/>
      <c r="AD11" s="52"/>
      <c r="AE11" s="52">
        <v>12</v>
      </c>
      <c r="AF11" s="52"/>
      <c r="AG11" s="46">
        <f t="shared" si="4"/>
        <v>48</v>
      </c>
      <c r="AH11" s="53">
        <v>40</v>
      </c>
      <c r="AI11" s="54">
        <f t="shared" si="5"/>
        <v>1920</v>
      </c>
      <c r="AL11" s="56"/>
      <c r="AM11" s="55"/>
      <c r="AO11" s="56" t="s">
        <v>198</v>
      </c>
      <c r="AP11" s="55">
        <f>AI11</f>
        <v>1920</v>
      </c>
      <c r="AR11" s="52"/>
      <c r="AS11" s="55"/>
      <c r="AX11" s="35">
        <f>AP11-AI11</f>
        <v>0</v>
      </c>
    </row>
    <row r="12" s="35" customFormat="1" ht="44" customHeight="1" spans="1:52">
      <c r="A12" s="52" t="s">
        <v>203</v>
      </c>
      <c r="B12" s="52"/>
      <c r="C12" s="52"/>
      <c r="D12" s="52"/>
      <c r="E12" s="46"/>
      <c r="F12" s="46"/>
      <c r="G12" s="46"/>
      <c r="H12" s="46">
        <v>3</v>
      </c>
      <c r="I12" s="46">
        <v>3</v>
      </c>
      <c r="J12" s="46">
        <v>3</v>
      </c>
      <c r="K12" s="46"/>
      <c r="L12" s="46">
        <v>3</v>
      </c>
      <c r="M12" s="46"/>
      <c r="N12" s="46">
        <v>3</v>
      </c>
      <c r="O12" s="46"/>
      <c r="P12" s="46">
        <v>3</v>
      </c>
      <c r="Q12" s="46"/>
      <c r="R12" s="46"/>
      <c r="S12" s="52">
        <v>3</v>
      </c>
      <c r="T12" s="52">
        <v>3</v>
      </c>
      <c r="U12" s="46"/>
      <c r="V12" s="46">
        <v>3</v>
      </c>
      <c r="W12" s="46"/>
      <c r="X12" s="46"/>
      <c r="Y12" s="46"/>
      <c r="Z12" s="52">
        <v>1</v>
      </c>
      <c r="AA12" s="52">
        <v>1</v>
      </c>
      <c r="AB12" s="52">
        <v>1</v>
      </c>
      <c r="AC12" s="52"/>
      <c r="AD12" s="52">
        <v>1</v>
      </c>
      <c r="AE12" s="52"/>
      <c r="AF12" s="52"/>
      <c r="AG12" s="46">
        <f t="shared" si="4"/>
        <v>31</v>
      </c>
      <c r="AH12" s="53">
        <v>25</v>
      </c>
      <c r="AI12" s="54">
        <f t="shared" si="5"/>
        <v>775</v>
      </c>
      <c r="AJ12" s="59"/>
      <c r="AL12" s="52" t="s">
        <v>203</v>
      </c>
      <c r="AM12" s="55">
        <f t="shared" si="6"/>
        <v>775</v>
      </c>
      <c r="AN12" s="60"/>
      <c r="AO12" s="52"/>
      <c r="AP12" s="55"/>
      <c r="AQ12" s="60"/>
      <c r="AR12" s="52"/>
      <c r="AS12" s="55"/>
      <c r="AV12" s="35">
        <f t="shared" si="7"/>
        <v>0</v>
      </c>
    </row>
    <row r="13" s="35" customFormat="1" ht="44" customHeight="1" spans="1:52">
      <c r="A13" s="56" t="s">
        <v>420</v>
      </c>
      <c r="B13" s="52"/>
      <c r="C13" s="52"/>
      <c r="D13" s="52"/>
      <c r="E13" s="46"/>
      <c r="F13" s="46"/>
      <c r="G13" s="46"/>
      <c r="H13" s="46"/>
      <c r="I13" s="46"/>
      <c r="J13" s="46"/>
      <c r="K13" s="46">
        <v>12</v>
      </c>
      <c r="L13" s="46"/>
      <c r="M13" s="46"/>
      <c r="N13" s="46"/>
      <c r="O13" s="46"/>
      <c r="P13" s="46"/>
      <c r="Q13" s="46">
        <v>12</v>
      </c>
      <c r="R13" s="46"/>
      <c r="S13" s="52"/>
      <c r="T13" s="52"/>
      <c r="U13" s="46"/>
      <c r="V13" s="46"/>
      <c r="W13" s="46"/>
      <c r="X13" s="46">
        <v>12</v>
      </c>
      <c r="Y13" s="46">
        <v>10.5</v>
      </c>
      <c r="Z13" s="46"/>
      <c r="AA13" s="52"/>
      <c r="AB13" s="52"/>
      <c r="AC13" s="52"/>
      <c r="AD13" s="52"/>
      <c r="AE13" s="52">
        <v>9.5</v>
      </c>
      <c r="AF13" s="52"/>
      <c r="AG13" s="46">
        <f t="shared" si="4"/>
        <v>56</v>
      </c>
      <c r="AH13" s="53">
        <v>40</v>
      </c>
      <c r="AI13" s="54">
        <f t="shared" si="5"/>
        <v>2240</v>
      </c>
      <c r="AJ13" s="59"/>
      <c r="AL13" s="56"/>
      <c r="AM13" s="55"/>
      <c r="AN13" s="60"/>
      <c r="AO13" s="56" t="s">
        <v>203</v>
      </c>
      <c r="AP13" s="55">
        <f>AI13</f>
        <v>2240</v>
      </c>
      <c r="AQ13" s="60"/>
      <c r="AR13" s="52"/>
      <c r="AS13" s="55"/>
      <c r="AX13" s="35">
        <f>AP13-AI13</f>
        <v>0</v>
      </c>
    </row>
    <row r="14" s="35" customFormat="1" ht="44" customHeight="1" spans="1:52">
      <c r="A14" s="52" t="s">
        <v>377</v>
      </c>
      <c r="B14" s="52"/>
      <c r="C14" s="52"/>
      <c r="D14" s="52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52"/>
      <c r="T14" s="52"/>
      <c r="U14" s="46"/>
      <c r="V14" s="46"/>
      <c r="W14" s="46"/>
      <c r="X14" s="46"/>
      <c r="Y14" s="46"/>
      <c r="Z14" s="46"/>
      <c r="AA14" s="52"/>
      <c r="AB14" s="52">
        <v>3</v>
      </c>
      <c r="AC14" s="52"/>
      <c r="AD14" s="52">
        <v>3</v>
      </c>
      <c r="AE14" s="52"/>
      <c r="AF14" s="52"/>
      <c r="AG14" s="46">
        <f t="shared" si="4"/>
        <v>6</v>
      </c>
      <c r="AH14" s="53">
        <v>25</v>
      </c>
      <c r="AI14" s="54">
        <f t="shared" si="5"/>
        <v>150</v>
      </c>
      <c r="AJ14" s="59"/>
      <c r="AL14" s="52" t="s">
        <v>377</v>
      </c>
      <c r="AM14" s="55">
        <f>AI14</f>
        <v>150</v>
      </c>
      <c r="AN14" s="60"/>
      <c r="AO14" s="52"/>
      <c r="AP14" s="55"/>
      <c r="AQ14" s="60"/>
      <c r="AR14" s="52"/>
      <c r="AS14" s="55"/>
      <c r="AV14" s="35">
        <f t="shared" si="7"/>
        <v>0</v>
      </c>
    </row>
    <row r="15" s="35" customFormat="1" ht="44" customHeight="1" spans="1:52">
      <c r="A15" s="52" t="s">
        <v>200</v>
      </c>
      <c r="B15" s="52"/>
      <c r="C15" s="52"/>
      <c r="D15" s="52"/>
      <c r="E15" s="46"/>
      <c r="F15" s="46"/>
      <c r="G15" s="46">
        <v>3</v>
      </c>
      <c r="H15" s="46"/>
      <c r="I15" s="46">
        <v>3</v>
      </c>
      <c r="J15" s="46"/>
      <c r="K15" s="46"/>
      <c r="L15" s="46"/>
      <c r="M15" s="46">
        <v>3</v>
      </c>
      <c r="N15" s="46"/>
      <c r="O15" s="46">
        <v>2</v>
      </c>
      <c r="P15" s="46"/>
      <c r="Q15" s="46"/>
      <c r="R15" s="46"/>
      <c r="S15" s="52"/>
      <c r="T15" s="52">
        <v>3</v>
      </c>
      <c r="U15" s="46">
        <v>3.5</v>
      </c>
      <c r="V15" s="46"/>
      <c r="W15" s="46">
        <v>2.5</v>
      </c>
      <c r="X15" s="46"/>
      <c r="Y15" s="46"/>
      <c r="Z15" s="46"/>
      <c r="AA15" s="52"/>
      <c r="AB15" s="46">
        <v>3</v>
      </c>
      <c r="AC15" s="46"/>
      <c r="AD15" s="46">
        <v>3</v>
      </c>
      <c r="AE15" s="46"/>
      <c r="AF15" s="46"/>
      <c r="AG15" s="46">
        <f t="shared" si="4"/>
        <v>26</v>
      </c>
      <c r="AH15" s="53">
        <v>25</v>
      </c>
      <c r="AI15" s="54">
        <f t="shared" si="5"/>
        <v>650</v>
      </c>
      <c r="AL15" s="52" t="s">
        <v>200</v>
      </c>
      <c r="AM15" s="55">
        <f>AI15</f>
        <v>650</v>
      </c>
      <c r="AO15" s="55"/>
      <c r="AP15" s="55"/>
      <c r="AR15" s="52"/>
      <c r="AS15" s="55"/>
      <c r="AV15" s="35">
        <f t="shared" si="7"/>
        <v>0</v>
      </c>
    </row>
    <row r="16" s="35" customFormat="1" ht="44" customHeight="1" spans="1:52">
      <c r="A16" s="56" t="s">
        <v>421</v>
      </c>
      <c r="B16" s="52"/>
      <c r="C16" s="52"/>
      <c r="D16" s="52"/>
      <c r="E16" s="46"/>
      <c r="F16" s="46"/>
      <c r="G16" s="46"/>
      <c r="H16" s="46"/>
      <c r="I16" s="46"/>
      <c r="J16" s="46"/>
      <c r="K16" s="46">
        <v>10</v>
      </c>
      <c r="L16" s="46"/>
      <c r="M16" s="46"/>
      <c r="N16" s="46"/>
      <c r="O16" s="46"/>
      <c r="P16" s="46"/>
      <c r="Q16" s="46"/>
      <c r="R16" s="46">
        <v>12</v>
      </c>
      <c r="S16" s="52"/>
      <c r="T16" s="52"/>
      <c r="U16" s="46"/>
      <c r="V16" s="46"/>
      <c r="W16" s="46"/>
      <c r="X16" s="46"/>
      <c r="Y16" s="46">
        <v>12</v>
      </c>
      <c r="Z16" s="46"/>
      <c r="AA16" s="52"/>
      <c r="AB16" s="46"/>
      <c r="AC16" s="46"/>
      <c r="AD16" s="46"/>
      <c r="AE16" s="46">
        <v>12</v>
      </c>
      <c r="AF16" s="46"/>
      <c r="AG16" s="46">
        <f t="shared" si="4"/>
        <v>46</v>
      </c>
      <c r="AH16" s="53">
        <v>40</v>
      </c>
      <c r="AI16" s="54">
        <f t="shared" si="5"/>
        <v>1840</v>
      </c>
      <c r="AL16" s="56"/>
      <c r="AM16" s="55"/>
      <c r="AO16" s="56" t="s">
        <v>200</v>
      </c>
      <c r="AP16" s="55">
        <f>AI16</f>
        <v>1840</v>
      </c>
      <c r="AR16" s="52"/>
      <c r="AS16" s="55"/>
      <c r="AX16" s="35">
        <f>AP16-AI16</f>
        <v>0</v>
      </c>
    </row>
    <row r="17" s="35" customFormat="1" ht="44" customHeight="1" spans="1:50">
      <c r="A17" s="52" t="s">
        <v>373</v>
      </c>
      <c r="B17" s="52"/>
      <c r="C17" s="52"/>
      <c r="D17" s="52"/>
      <c r="E17" s="46"/>
      <c r="F17" s="46"/>
      <c r="G17" s="46"/>
      <c r="H17" s="46">
        <v>3</v>
      </c>
      <c r="I17" s="46">
        <v>3.5</v>
      </c>
      <c r="J17" s="46">
        <v>3.5</v>
      </c>
      <c r="K17" s="46"/>
      <c r="L17" s="46">
        <v>3</v>
      </c>
      <c r="M17" s="46"/>
      <c r="N17" s="46">
        <v>3</v>
      </c>
      <c r="O17" s="46"/>
      <c r="P17" s="46">
        <v>3</v>
      </c>
      <c r="Q17" s="46"/>
      <c r="R17" s="46"/>
      <c r="S17" s="52">
        <v>3</v>
      </c>
      <c r="T17" s="52">
        <v>1</v>
      </c>
      <c r="U17" s="46">
        <v>2</v>
      </c>
      <c r="V17" s="46"/>
      <c r="W17" s="46">
        <v>3</v>
      </c>
      <c r="X17" s="46"/>
      <c r="Y17" s="46"/>
      <c r="Z17" s="46">
        <v>3</v>
      </c>
      <c r="AA17" s="52"/>
      <c r="AB17" s="46">
        <v>2</v>
      </c>
      <c r="AC17" s="46">
        <v>3.5</v>
      </c>
      <c r="AD17" s="46">
        <v>3.5</v>
      </c>
      <c r="AE17" s="46"/>
      <c r="AF17" s="46"/>
      <c r="AG17" s="46">
        <f t="shared" si="4"/>
        <v>40</v>
      </c>
      <c r="AH17" s="53">
        <v>25</v>
      </c>
      <c r="AI17" s="54">
        <f t="shared" si="5"/>
        <v>1000</v>
      </c>
      <c r="AL17" s="52" t="s">
        <v>373</v>
      </c>
      <c r="AM17" s="55">
        <f>AI17</f>
        <v>1000</v>
      </c>
      <c r="AO17" s="52"/>
      <c r="AP17" s="55"/>
      <c r="AR17" s="52"/>
      <c r="AS17" s="55"/>
      <c r="AV17" s="35">
        <f>AM17-AI17</f>
        <v>0</v>
      </c>
    </row>
    <row r="18" s="35" customFormat="1" ht="44" customHeight="1" spans="1:50">
      <c r="A18" s="56" t="s">
        <v>422</v>
      </c>
      <c r="B18" s="52"/>
      <c r="C18" s="52"/>
      <c r="D18" s="52"/>
      <c r="E18" s="46"/>
      <c r="F18" s="46">
        <v>12</v>
      </c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>
        <v>12</v>
      </c>
      <c r="R18" s="46"/>
      <c r="S18" s="52"/>
      <c r="T18" s="52"/>
      <c r="U18" s="46"/>
      <c r="V18" s="46"/>
      <c r="W18" s="46"/>
      <c r="X18" s="46">
        <v>12</v>
      </c>
      <c r="Y18" s="46"/>
      <c r="Z18" s="46"/>
      <c r="AA18" s="52"/>
      <c r="AB18" s="46"/>
      <c r="AC18" s="46"/>
      <c r="AD18" s="46"/>
      <c r="AE18" s="46"/>
      <c r="AF18" s="46">
        <v>12</v>
      </c>
      <c r="AG18" s="46">
        <f t="shared" si="4"/>
        <v>48</v>
      </c>
      <c r="AH18" s="53">
        <v>40</v>
      </c>
      <c r="AI18" s="54">
        <f t="shared" si="5"/>
        <v>1920</v>
      </c>
      <c r="AL18" s="56"/>
      <c r="AM18" s="55"/>
      <c r="AO18" s="56" t="s">
        <v>373</v>
      </c>
      <c r="AP18" s="55">
        <f>AI18</f>
        <v>1920</v>
      </c>
      <c r="AR18" s="52"/>
      <c r="AS18" s="55"/>
      <c r="AX18" s="35">
        <f>AP18-AI18</f>
        <v>0</v>
      </c>
    </row>
    <row r="19" s="35" customFormat="1" ht="44" customHeight="1" spans="1:50">
      <c r="A19" s="52" t="s">
        <v>205</v>
      </c>
      <c r="B19" s="46"/>
      <c r="C19" s="46"/>
      <c r="D19" s="46"/>
      <c r="E19" s="46"/>
      <c r="F19" s="46"/>
      <c r="G19" s="46"/>
      <c r="H19" s="46"/>
      <c r="I19" s="46"/>
      <c r="J19" s="46">
        <v>1</v>
      </c>
      <c r="K19" s="46"/>
      <c r="L19" s="46"/>
      <c r="M19" s="46"/>
      <c r="N19" s="46">
        <v>1</v>
      </c>
      <c r="O19" s="46"/>
      <c r="P19" s="46"/>
      <c r="Q19" s="46"/>
      <c r="R19" s="46"/>
      <c r="S19" s="46">
        <v>1.5</v>
      </c>
      <c r="T19" s="46">
        <v>1</v>
      </c>
      <c r="U19" s="46"/>
      <c r="V19" s="46">
        <v>1.5</v>
      </c>
      <c r="W19" s="46"/>
      <c r="X19" s="46"/>
      <c r="Y19" s="46"/>
      <c r="Z19" s="46">
        <v>3</v>
      </c>
      <c r="AA19" s="46"/>
      <c r="AB19" s="46">
        <v>3</v>
      </c>
      <c r="AC19" s="46"/>
      <c r="AD19" s="46"/>
      <c r="AE19" s="46"/>
      <c r="AF19" s="46"/>
      <c r="AG19" s="46">
        <f t="shared" si="4"/>
        <v>12</v>
      </c>
      <c r="AH19" s="61">
        <v>25</v>
      </c>
      <c r="AI19" s="54">
        <f t="shared" si="5"/>
        <v>300</v>
      </c>
      <c r="AL19" s="52" t="s">
        <v>205</v>
      </c>
      <c r="AM19" s="55">
        <f>AI19</f>
        <v>300</v>
      </c>
      <c r="AO19" s="52"/>
      <c r="AP19" s="55"/>
      <c r="AR19" s="52"/>
      <c r="AS19" s="55"/>
      <c r="AV19" s="35">
        <f>AM19-AI19</f>
        <v>0</v>
      </c>
    </row>
    <row r="20" s="35" customFormat="1" ht="44" customHeight="1" spans="1:50">
      <c r="A20" s="56" t="s">
        <v>423</v>
      </c>
      <c r="B20" s="46"/>
      <c r="C20" s="46"/>
      <c r="D20" s="46"/>
      <c r="E20" s="46"/>
      <c r="F20" s="46"/>
      <c r="G20" s="46"/>
      <c r="H20" s="46"/>
      <c r="I20" s="46"/>
      <c r="J20" s="46"/>
      <c r="K20" s="46">
        <v>9</v>
      </c>
      <c r="L20" s="46"/>
      <c r="M20" s="46"/>
      <c r="N20" s="46"/>
      <c r="O20" s="46"/>
      <c r="P20" s="46"/>
      <c r="Q20" s="46">
        <v>9.5</v>
      </c>
      <c r="R20" s="46"/>
      <c r="S20" s="46"/>
      <c r="T20" s="46"/>
      <c r="U20" s="46"/>
      <c r="V20" s="46"/>
      <c r="W20" s="46"/>
      <c r="X20" s="46">
        <v>9.5</v>
      </c>
      <c r="Y20" s="46"/>
      <c r="Z20" s="46"/>
      <c r="AA20" s="46"/>
      <c r="AB20" s="46"/>
      <c r="AC20" s="46"/>
      <c r="AD20" s="46"/>
      <c r="AE20" s="46">
        <v>5.5</v>
      </c>
      <c r="AF20" s="46"/>
      <c r="AG20" s="46">
        <f t="shared" si="4"/>
        <v>33.5</v>
      </c>
      <c r="AH20" s="53">
        <v>40</v>
      </c>
      <c r="AI20" s="54">
        <f t="shared" si="5"/>
        <v>1340</v>
      </c>
      <c r="AL20" s="56"/>
      <c r="AM20" s="55"/>
      <c r="AO20" s="56" t="s">
        <v>205</v>
      </c>
      <c r="AP20" s="55">
        <f>AI20</f>
        <v>1340</v>
      </c>
      <c r="AR20" s="52"/>
      <c r="AS20" s="55"/>
      <c r="AX20" s="35">
        <f>AP20-AI20</f>
        <v>0</v>
      </c>
    </row>
    <row r="21" s="35" customFormat="1" ht="44" customHeight="1" spans="1:50">
      <c r="A21" s="52" t="s">
        <v>159</v>
      </c>
      <c r="B21" s="52"/>
      <c r="C21" s="52"/>
      <c r="D21" s="52"/>
      <c r="E21" s="46"/>
      <c r="F21" s="46"/>
      <c r="G21" s="46"/>
      <c r="H21" s="46"/>
      <c r="I21" s="46"/>
      <c r="J21" s="46"/>
      <c r="K21" s="46"/>
      <c r="L21" s="46">
        <v>3</v>
      </c>
      <c r="M21" s="46">
        <v>3</v>
      </c>
      <c r="N21" s="46"/>
      <c r="O21" s="46"/>
      <c r="P21" s="46">
        <v>3</v>
      </c>
      <c r="Q21" s="46"/>
      <c r="R21" s="46"/>
      <c r="S21" s="52"/>
      <c r="T21" s="52">
        <v>4.5</v>
      </c>
      <c r="U21" s="46">
        <v>3</v>
      </c>
      <c r="V21" s="46"/>
      <c r="W21" s="46"/>
      <c r="X21" s="46"/>
      <c r="Y21" s="46"/>
      <c r="Z21" s="46"/>
      <c r="AA21" s="52"/>
      <c r="AB21" s="52"/>
      <c r="AC21" s="52"/>
      <c r="AD21" s="52"/>
      <c r="AE21" s="52"/>
      <c r="AF21" s="52"/>
      <c r="AG21" s="46">
        <f t="shared" si="4"/>
        <v>16.5</v>
      </c>
      <c r="AH21" s="53">
        <v>25</v>
      </c>
      <c r="AI21" s="54">
        <f t="shared" si="5"/>
        <v>412.5</v>
      </c>
      <c r="AL21" s="52" t="s">
        <v>159</v>
      </c>
      <c r="AM21" s="55">
        <f>AI21</f>
        <v>412.5</v>
      </c>
      <c r="AO21" s="52"/>
      <c r="AP21" s="55"/>
      <c r="AR21" s="52"/>
      <c r="AS21" s="55"/>
      <c r="AV21" s="35">
        <f>AM21-AI21</f>
        <v>0</v>
      </c>
    </row>
    <row r="22" s="35" customFormat="1" ht="44" customHeight="1" spans="1:50">
      <c r="A22" s="56" t="s">
        <v>424</v>
      </c>
      <c r="B22" s="52"/>
      <c r="C22" s="52"/>
      <c r="D22" s="52"/>
      <c r="E22" s="46"/>
      <c r="F22" s="46"/>
      <c r="G22" s="46"/>
      <c r="H22" s="46"/>
      <c r="I22" s="46"/>
      <c r="J22" s="46"/>
      <c r="K22" s="46">
        <v>7</v>
      </c>
      <c r="L22" s="46"/>
      <c r="M22" s="46"/>
      <c r="N22" s="46"/>
      <c r="O22" s="46"/>
      <c r="P22" s="46"/>
      <c r="Q22" s="46"/>
      <c r="R22" s="46"/>
      <c r="S22" s="52"/>
      <c r="T22" s="52"/>
      <c r="U22" s="46"/>
      <c r="V22" s="46"/>
      <c r="W22" s="46"/>
      <c r="X22" s="46"/>
      <c r="Y22" s="46"/>
      <c r="Z22" s="46"/>
      <c r="AA22" s="52"/>
      <c r="AB22" s="52"/>
      <c r="AC22" s="52"/>
      <c r="AD22" s="52"/>
      <c r="AE22" s="52">
        <v>9</v>
      </c>
      <c r="AF22" s="52"/>
      <c r="AG22" s="46">
        <f t="shared" si="4"/>
        <v>16</v>
      </c>
      <c r="AH22" s="61">
        <v>40</v>
      </c>
      <c r="AI22" s="54">
        <f t="shared" si="5"/>
        <v>640</v>
      </c>
      <c r="AL22" s="62"/>
      <c r="AM22" s="55"/>
      <c r="AO22" s="63" t="s">
        <v>159</v>
      </c>
      <c r="AP22" s="55">
        <f>AI22</f>
        <v>640</v>
      </c>
      <c r="AR22" s="52"/>
      <c r="AS22" s="55"/>
      <c r="AX22" s="35">
        <f>AP22-AI22</f>
        <v>0</v>
      </c>
    </row>
    <row r="23" s="35" customFormat="1" ht="44" customHeight="1" spans="1:50">
      <c r="A23" s="52" t="s">
        <v>352</v>
      </c>
      <c r="B23" s="52"/>
      <c r="C23" s="52"/>
      <c r="D23" s="52"/>
      <c r="E23" s="46"/>
      <c r="F23" s="46"/>
      <c r="G23" s="46">
        <v>3</v>
      </c>
      <c r="H23" s="46"/>
      <c r="I23" s="46">
        <v>3.5</v>
      </c>
      <c r="J23" s="46">
        <v>3.5</v>
      </c>
      <c r="K23" s="46"/>
      <c r="L23" s="46">
        <v>3.5</v>
      </c>
      <c r="M23" s="46">
        <v>4</v>
      </c>
      <c r="N23" s="46">
        <v>4</v>
      </c>
      <c r="O23" s="46"/>
      <c r="P23" s="46"/>
      <c r="Q23" s="46"/>
      <c r="R23" s="46"/>
      <c r="S23" s="52">
        <v>2.5</v>
      </c>
      <c r="T23" s="52">
        <v>3</v>
      </c>
      <c r="U23" s="46">
        <v>3.5</v>
      </c>
      <c r="V23" s="46">
        <v>3</v>
      </c>
      <c r="W23" s="46">
        <v>3</v>
      </c>
      <c r="X23" s="46"/>
      <c r="Y23" s="46"/>
      <c r="Z23" s="46">
        <v>3</v>
      </c>
      <c r="AA23" s="52"/>
      <c r="AB23" s="52">
        <v>2.5</v>
      </c>
      <c r="AC23" s="52">
        <v>2.5</v>
      </c>
      <c r="AD23" s="52">
        <v>2</v>
      </c>
      <c r="AE23" s="52"/>
      <c r="AF23" s="52"/>
      <c r="AG23" s="46">
        <f t="shared" si="4"/>
        <v>46.5</v>
      </c>
      <c r="AH23" s="53">
        <v>25</v>
      </c>
      <c r="AI23" s="54">
        <f t="shared" si="5"/>
        <v>1162.5</v>
      </c>
      <c r="AL23" s="55" t="s">
        <v>352</v>
      </c>
      <c r="AM23" s="55">
        <f>AI23</f>
        <v>1162.5</v>
      </c>
      <c r="AO23" s="58"/>
      <c r="AP23" s="55"/>
      <c r="AR23" s="52"/>
      <c r="AS23" s="55"/>
      <c r="AV23" s="35">
        <f>AM23-AI23</f>
        <v>0</v>
      </c>
    </row>
    <row r="24" s="35" customFormat="1" ht="44" customHeight="1" spans="1:50">
      <c r="A24" s="52" t="s">
        <v>354</v>
      </c>
      <c r="B24" s="52"/>
      <c r="C24" s="52"/>
      <c r="D24" s="52"/>
      <c r="E24" s="46"/>
      <c r="F24" s="46"/>
      <c r="G24" s="46">
        <v>3</v>
      </c>
      <c r="H24" s="46">
        <v>3</v>
      </c>
      <c r="I24" s="46">
        <v>3.5</v>
      </c>
      <c r="J24" s="46"/>
      <c r="K24" s="46"/>
      <c r="L24" s="46">
        <v>5</v>
      </c>
      <c r="M24" s="46">
        <v>4.5</v>
      </c>
      <c r="N24" s="46">
        <v>5</v>
      </c>
      <c r="O24" s="46">
        <v>4.5</v>
      </c>
      <c r="P24" s="46">
        <v>4</v>
      </c>
      <c r="Q24" s="46"/>
      <c r="R24" s="46"/>
      <c r="S24" s="52">
        <v>5</v>
      </c>
      <c r="T24" s="52">
        <v>5.5</v>
      </c>
      <c r="U24" s="46">
        <v>4.5</v>
      </c>
      <c r="V24" s="46">
        <v>4.5</v>
      </c>
      <c r="W24" s="46">
        <v>4.5</v>
      </c>
      <c r="X24" s="46"/>
      <c r="Y24" s="46"/>
      <c r="Z24" s="46">
        <v>4.5</v>
      </c>
      <c r="AA24" s="52">
        <v>4</v>
      </c>
      <c r="AB24" s="52">
        <v>3</v>
      </c>
      <c r="AC24" s="52">
        <v>4.5</v>
      </c>
      <c r="AD24" s="52">
        <v>4</v>
      </c>
      <c r="AE24" s="52"/>
      <c r="AF24" s="52"/>
      <c r="AG24" s="46">
        <f t="shared" ref="AG24:AG42" si="8">SUM(B24:AF24)</f>
        <v>76.5</v>
      </c>
      <c r="AH24" s="53">
        <v>25</v>
      </c>
      <c r="AI24" s="54">
        <f t="shared" si="5"/>
        <v>1912.5</v>
      </c>
      <c r="AL24" s="55" t="s">
        <v>354</v>
      </c>
      <c r="AM24" s="55">
        <f>AI24</f>
        <v>1912.5</v>
      </c>
      <c r="AO24" s="55"/>
      <c r="AP24" s="55"/>
      <c r="AR24" s="52"/>
      <c r="AS24" s="55"/>
      <c r="AV24" s="35">
        <f>AM24-AI24</f>
        <v>0</v>
      </c>
    </row>
    <row r="25" s="35" customFormat="1" ht="44" customHeight="1" spans="1:50">
      <c r="A25" s="56" t="s">
        <v>425</v>
      </c>
      <c r="B25" s="52"/>
      <c r="C25" s="52"/>
      <c r="D25" s="52"/>
      <c r="E25" s="46"/>
      <c r="F25" s="46"/>
      <c r="G25" s="46"/>
      <c r="H25" s="46"/>
      <c r="I25" s="46"/>
      <c r="J25" s="46"/>
      <c r="K25" s="46">
        <v>6</v>
      </c>
      <c r="L25" s="46"/>
      <c r="M25" s="46"/>
      <c r="N25" s="46"/>
      <c r="O25" s="46"/>
      <c r="P25" s="46"/>
      <c r="Q25" s="46"/>
      <c r="R25" s="46">
        <v>5.5</v>
      </c>
      <c r="S25" s="52"/>
      <c r="T25" s="52"/>
      <c r="U25" s="46"/>
      <c r="V25" s="46"/>
      <c r="W25" s="46"/>
      <c r="X25" s="46">
        <v>9.5</v>
      </c>
      <c r="Y25" s="46"/>
      <c r="Z25" s="46"/>
      <c r="AA25" s="52"/>
      <c r="AB25" s="52"/>
      <c r="AC25" s="52"/>
      <c r="AD25" s="52"/>
      <c r="AE25" s="52">
        <v>11</v>
      </c>
      <c r="AF25" s="52"/>
      <c r="AG25" s="46">
        <f t="shared" si="8"/>
        <v>32</v>
      </c>
      <c r="AH25" s="61">
        <v>40</v>
      </c>
      <c r="AI25" s="54">
        <f t="shared" si="5"/>
        <v>1280</v>
      </c>
      <c r="AL25" s="62"/>
      <c r="AM25" s="55"/>
      <c r="AO25" s="62" t="s">
        <v>354</v>
      </c>
      <c r="AP25" s="55">
        <f>AI25</f>
        <v>1280</v>
      </c>
      <c r="AR25" s="52"/>
      <c r="AS25" s="55"/>
      <c r="AX25" s="35">
        <f>AP25-AI25</f>
        <v>0</v>
      </c>
    </row>
    <row r="26" s="35" customFormat="1" ht="44" customHeight="1" spans="1:50">
      <c r="A26" s="52" t="s">
        <v>356</v>
      </c>
      <c r="B26" s="52"/>
      <c r="C26" s="52"/>
      <c r="D26" s="52"/>
      <c r="E26" s="46"/>
      <c r="F26" s="46"/>
      <c r="G26" s="46"/>
      <c r="H26" s="46"/>
      <c r="I26" s="46"/>
      <c r="J26" s="46"/>
      <c r="K26" s="46"/>
      <c r="L26" s="46">
        <v>1.5</v>
      </c>
      <c r="M26" s="46">
        <v>4</v>
      </c>
      <c r="N26" s="46">
        <v>3</v>
      </c>
      <c r="O26" s="46">
        <v>2.5</v>
      </c>
      <c r="P26" s="46"/>
      <c r="Q26" s="46"/>
      <c r="R26" s="46"/>
      <c r="S26" s="52">
        <v>1.5</v>
      </c>
      <c r="T26" s="52">
        <v>4</v>
      </c>
      <c r="U26" s="46">
        <v>2.5</v>
      </c>
      <c r="V26" s="46"/>
      <c r="W26" s="46">
        <v>4</v>
      </c>
      <c r="X26" s="46"/>
      <c r="Y26" s="46"/>
      <c r="Z26" s="46">
        <v>3.5</v>
      </c>
      <c r="AA26" s="52">
        <v>1</v>
      </c>
      <c r="AB26" s="52"/>
      <c r="AC26" s="52">
        <v>2.5</v>
      </c>
      <c r="AD26" s="52"/>
      <c r="AE26" s="52"/>
      <c r="AF26" s="52"/>
      <c r="AG26" s="46">
        <f t="shared" si="8"/>
        <v>30</v>
      </c>
      <c r="AH26" s="53">
        <v>25</v>
      </c>
      <c r="AI26" s="54">
        <f t="shared" si="5"/>
        <v>750</v>
      </c>
      <c r="AL26" s="55" t="s">
        <v>356</v>
      </c>
      <c r="AM26" s="55">
        <f>AI26</f>
        <v>750</v>
      </c>
      <c r="AO26" s="55"/>
      <c r="AP26" s="55"/>
      <c r="AR26" s="52"/>
      <c r="AS26" s="55"/>
      <c r="AV26" s="35">
        <f>AM26-AI26</f>
        <v>0</v>
      </c>
    </row>
    <row r="27" s="35" customFormat="1" ht="44" customHeight="1" spans="1:50">
      <c r="A27" s="46" t="s">
        <v>153</v>
      </c>
      <c r="B27" s="52"/>
      <c r="C27" s="52"/>
      <c r="D27" s="52"/>
      <c r="E27" s="52"/>
      <c r="F27" s="52"/>
      <c r="G27" s="52">
        <v>2.5</v>
      </c>
      <c r="H27" s="52">
        <v>2</v>
      </c>
      <c r="I27" s="52">
        <v>3</v>
      </c>
      <c r="J27" s="52"/>
      <c r="K27" s="52"/>
      <c r="L27" s="52">
        <v>2.5</v>
      </c>
      <c r="M27" s="52"/>
      <c r="N27" s="52">
        <v>4</v>
      </c>
      <c r="O27" s="52">
        <v>3</v>
      </c>
      <c r="P27" s="52"/>
      <c r="Q27" s="52"/>
      <c r="R27" s="52"/>
      <c r="S27" s="52">
        <v>2.5</v>
      </c>
      <c r="T27" s="52">
        <v>2.5</v>
      </c>
      <c r="U27" s="52">
        <v>2.5</v>
      </c>
      <c r="V27" s="52">
        <v>4.5</v>
      </c>
      <c r="W27" s="52"/>
      <c r="X27" s="52"/>
      <c r="Y27" s="52"/>
      <c r="Z27" s="52">
        <v>3</v>
      </c>
      <c r="AA27" s="52">
        <v>4</v>
      </c>
      <c r="AB27" s="52">
        <v>3</v>
      </c>
      <c r="AC27" s="52">
        <v>3.5</v>
      </c>
      <c r="AD27" s="52"/>
      <c r="AE27" s="52"/>
      <c r="AF27" s="52"/>
      <c r="AG27" s="46">
        <f t="shared" si="8"/>
        <v>42.5</v>
      </c>
      <c r="AH27" s="53">
        <v>25</v>
      </c>
      <c r="AI27" s="54">
        <f t="shared" si="5"/>
        <v>1062.5</v>
      </c>
      <c r="AL27" s="46" t="s">
        <v>153</v>
      </c>
      <c r="AM27" s="55">
        <f>AI27</f>
        <v>1062.5</v>
      </c>
      <c r="AO27" s="46"/>
      <c r="AP27" s="55"/>
      <c r="AR27" s="46"/>
      <c r="AS27" s="55"/>
      <c r="AV27" s="35">
        <f>AM27-AI27</f>
        <v>0</v>
      </c>
    </row>
    <row r="28" s="35" customFormat="1" ht="44" customHeight="1" spans="1:50">
      <c r="A28" s="56" t="s">
        <v>426</v>
      </c>
      <c r="B28" s="46"/>
      <c r="C28" s="46"/>
      <c r="D28" s="46"/>
      <c r="E28" s="46"/>
      <c r="F28" s="46"/>
      <c r="G28" s="46"/>
      <c r="H28" s="46"/>
      <c r="I28" s="46"/>
      <c r="J28" s="46"/>
      <c r="K28" s="46">
        <v>5</v>
      </c>
      <c r="L28" s="46"/>
      <c r="M28" s="46"/>
      <c r="N28" s="46"/>
      <c r="O28" s="46"/>
      <c r="P28" s="46"/>
      <c r="Q28" s="46"/>
      <c r="R28" s="46"/>
      <c r="S28" s="52"/>
      <c r="T28" s="52"/>
      <c r="U28" s="46"/>
      <c r="V28" s="46"/>
      <c r="W28" s="46"/>
      <c r="X28" s="46"/>
      <c r="Y28" s="46">
        <v>5.5</v>
      </c>
      <c r="Z28" s="46"/>
      <c r="AA28" s="46"/>
      <c r="AB28" s="46"/>
      <c r="AC28" s="46"/>
      <c r="AD28" s="46"/>
      <c r="AE28" s="46">
        <v>5</v>
      </c>
      <c r="AF28" s="46"/>
      <c r="AG28" s="46">
        <f t="shared" si="8"/>
        <v>15.5</v>
      </c>
      <c r="AH28" s="61">
        <v>40</v>
      </c>
      <c r="AI28" s="54">
        <f t="shared" si="5"/>
        <v>620</v>
      </c>
      <c r="AL28" s="56"/>
      <c r="AM28" s="55"/>
      <c r="AN28" s="60"/>
      <c r="AO28" s="56" t="s">
        <v>153</v>
      </c>
      <c r="AP28" s="55">
        <f>AI28</f>
        <v>620</v>
      </c>
      <c r="AQ28" s="60"/>
      <c r="AR28" s="52"/>
      <c r="AS28" s="55"/>
      <c r="AX28" s="35">
        <f>AP28-AI28</f>
        <v>0</v>
      </c>
    </row>
    <row r="29" s="35" customFormat="1" ht="44" customHeight="1" spans="1:50">
      <c r="A29" s="52" t="s">
        <v>150</v>
      </c>
      <c r="B29" s="46"/>
      <c r="C29" s="46"/>
      <c r="D29" s="46"/>
      <c r="E29" s="46"/>
      <c r="F29" s="46"/>
      <c r="G29" s="46"/>
      <c r="H29" s="46">
        <v>1.5</v>
      </c>
      <c r="I29" s="46"/>
      <c r="J29" s="46">
        <v>1.5</v>
      </c>
      <c r="K29" s="46"/>
      <c r="L29" s="46">
        <v>2</v>
      </c>
      <c r="M29" s="46"/>
      <c r="N29" s="46"/>
      <c r="O29" s="46"/>
      <c r="P29" s="46"/>
      <c r="Q29" s="46"/>
      <c r="R29" s="46"/>
      <c r="S29" s="52"/>
      <c r="T29" s="52"/>
      <c r="U29" s="46">
        <v>1.5</v>
      </c>
      <c r="V29" s="46">
        <v>3</v>
      </c>
      <c r="W29" s="46"/>
      <c r="X29" s="46"/>
      <c r="Y29" s="46"/>
      <c r="Z29" s="46">
        <v>2.5</v>
      </c>
      <c r="AA29" s="46"/>
      <c r="AB29" s="46">
        <v>1.5</v>
      </c>
      <c r="AC29" s="46"/>
      <c r="AD29" s="46"/>
      <c r="AE29" s="46"/>
      <c r="AF29" s="46"/>
      <c r="AG29" s="46">
        <f t="shared" si="8"/>
        <v>13.5</v>
      </c>
      <c r="AH29" s="53">
        <v>25</v>
      </c>
      <c r="AI29" s="54">
        <f t="shared" si="5"/>
        <v>337.5</v>
      </c>
      <c r="AL29" s="52" t="s">
        <v>150</v>
      </c>
      <c r="AM29" s="55">
        <f>AI29</f>
        <v>337.5</v>
      </c>
      <c r="AN29" s="60"/>
      <c r="AO29" s="52"/>
      <c r="AP29" s="55"/>
      <c r="AQ29" s="60"/>
      <c r="AR29" s="52"/>
      <c r="AS29" s="55"/>
      <c r="AV29" s="35">
        <f>AM29-AI29</f>
        <v>0</v>
      </c>
    </row>
    <row r="30" s="35" customFormat="1" ht="44" customHeight="1" spans="1:50">
      <c r="A30" s="64" t="s">
        <v>427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52"/>
      <c r="T30" s="52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>
        <v>4.5</v>
      </c>
      <c r="AF30" s="46"/>
      <c r="AG30" s="46">
        <f t="shared" si="8"/>
        <v>4.5</v>
      </c>
      <c r="AH30" s="61">
        <v>40</v>
      </c>
      <c r="AI30" s="54">
        <f t="shared" si="5"/>
        <v>180</v>
      </c>
      <c r="AL30" s="62"/>
      <c r="AM30" s="55"/>
      <c r="AN30" s="60"/>
      <c r="AO30" s="56" t="s">
        <v>150</v>
      </c>
      <c r="AP30" s="55">
        <f>AI30</f>
        <v>180</v>
      </c>
      <c r="AQ30" s="60"/>
      <c r="AR30" s="52"/>
      <c r="AS30" s="55"/>
      <c r="AX30" s="35">
        <f>AP30-AI30</f>
        <v>0</v>
      </c>
    </row>
    <row r="31" s="35" customFormat="1" ht="44" customHeight="1" spans="1:50">
      <c r="A31" s="46" t="s">
        <v>353</v>
      </c>
      <c r="B31" s="46"/>
      <c r="C31" s="46"/>
      <c r="D31" s="46"/>
      <c r="E31" s="46"/>
      <c r="F31" s="46"/>
      <c r="G31" s="46"/>
      <c r="H31" s="46"/>
      <c r="I31" s="46"/>
      <c r="J31" s="46">
        <v>1</v>
      </c>
      <c r="K31" s="46"/>
      <c r="L31" s="46">
        <v>2.5</v>
      </c>
      <c r="M31" s="46">
        <v>1.5</v>
      </c>
      <c r="N31" s="46">
        <v>2.5</v>
      </c>
      <c r="O31" s="46">
        <v>1.5</v>
      </c>
      <c r="P31" s="46"/>
      <c r="Q31" s="46"/>
      <c r="R31" s="46"/>
      <c r="S31" s="52"/>
      <c r="T31" s="52">
        <v>2</v>
      </c>
      <c r="U31" s="46">
        <v>2</v>
      </c>
      <c r="V31" s="46">
        <v>3.5</v>
      </c>
      <c r="W31" s="46"/>
      <c r="X31" s="46"/>
      <c r="Y31" s="46"/>
      <c r="Z31" s="46">
        <v>2.5</v>
      </c>
      <c r="AA31" s="46">
        <v>3</v>
      </c>
      <c r="AB31" s="46">
        <v>3.5</v>
      </c>
      <c r="AC31" s="46">
        <v>3.5</v>
      </c>
      <c r="AD31" s="46"/>
      <c r="AE31" s="46"/>
      <c r="AF31" s="46"/>
      <c r="AG31" s="46">
        <f t="shared" si="8"/>
        <v>29</v>
      </c>
      <c r="AH31" s="53">
        <v>25</v>
      </c>
      <c r="AI31" s="54">
        <f t="shared" si="5"/>
        <v>725</v>
      </c>
      <c r="AL31" s="46" t="s">
        <v>353</v>
      </c>
      <c r="AM31" s="55">
        <f>AI31</f>
        <v>725</v>
      </c>
      <c r="AN31" s="60"/>
      <c r="AO31" s="55"/>
      <c r="AP31" s="55"/>
      <c r="AQ31" s="60"/>
      <c r="AR31" s="52"/>
      <c r="AS31" s="55"/>
      <c r="AV31" s="35">
        <f>AM31-AI31</f>
        <v>0</v>
      </c>
    </row>
    <row r="32" s="35" customFormat="1" ht="44" customHeight="1" spans="1:50">
      <c r="A32" s="64" t="s">
        <v>428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52"/>
      <c r="T32" s="52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>
        <v>7</v>
      </c>
      <c r="AF32" s="46"/>
      <c r="AG32" s="46">
        <f t="shared" si="8"/>
        <v>7</v>
      </c>
      <c r="AH32" s="61">
        <v>40</v>
      </c>
      <c r="AI32" s="54">
        <f t="shared" si="5"/>
        <v>280</v>
      </c>
      <c r="AL32" s="62"/>
      <c r="AM32" s="55"/>
      <c r="AN32" s="60"/>
      <c r="AO32" s="64" t="s">
        <v>353</v>
      </c>
      <c r="AP32" s="55">
        <f t="shared" ref="AP32:AP36" si="9">AI32</f>
        <v>280</v>
      </c>
      <c r="AQ32" s="60"/>
      <c r="AR32" s="52"/>
      <c r="AS32" s="55"/>
      <c r="AX32" s="35">
        <f>AP32-AI32</f>
        <v>0</v>
      </c>
    </row>
    <row r="33" s="35" customFormat="1" ht="44" customHeight="1" spans="1:50">
      <c r="A33" s="52" t="s">
        <v>156</v>
      </c>
      <c r="B33" s="52"/>
      <c r="C33" s="52"/>
      <c r="D33" s="52"/>
      <c r="E33" s="46"/>
      <c r="F33" s="46"/>
      <c r="G33" s="46">
        <v>3.5</v>
      </c>
      <c r="H33" s="46">
        <v>2</v>
      </c>
      <c r="I33" s="46">
        <v>3</v>
      </c>
      <c r="J33" s="46"/>
      <c r="K33" s="46"/>
      <c r="L33" s="46">
        <v>2</v>
      </c>
      <c r="M33" s="46">
        <v>3.5</v>
      </c>
      <c r="N33" s="46">
        <v>3.5</v>
      </c>
      <c r="O33" s="46">
        <v>3</v>
      </c>
      <c r="P33" s="46"/>
      <c r="Q33" s="46"/>
      <c r="R33" s="46"/>
      <c r="S33" s="46">
        <v>4.5</v>
      </c>
      <c r="T33" s="46">
        <v>3</v>
      </c>
      <c r="U33" s="46">
        <v>4.5</v>
      </c>
      <c r="V33" s="46">
        <v>4.5</v>
      </c>
      <c r="W33" s="46"/>
      <c r="X33" s="46"/>
      <c r="Y33" s="46"/>
      <c r="Z33" s="46">
        <v>3</v>
      </c>
      <c r="AA33" s="52">
        <v>4</v>
      </c>
      <c r="AB33" s="52">
        <v>3</v>
      </c>
      <c r="AC33" s="52">
        <v>3.5</v>
      </c>
      <c r="AD33" s="52"/>
      <c r="AE33" s="52"/>
      <c r="AF33" s="52"/>
      <c r="AG33" s="46">
        <f t="shared" si="8"/>
        <v>50.5</v>
      </c>
      <c r="AH33" s="53">
        <v>25</v>
      </c>
      <c r="AI33" s="54">
        <f t="shared" si="5"/>
        <v>1262.5</v>
      </c>
      <c r="AL33" s="52" t="s">
        <v>156</v>
      </c>
      <c r="AM33" s="55">
        <f>AI33</f>
        <v>1262.5</v>
      </c>
      <c r="AO33" s="52"/>
      <c r="AP33" s="55"/>
      <c r="AR33" s="52"/>
      <c r="AS33" s="55"/>
      <c r="AV33" s="35">
        <f>AM33-AI33</f>
        <v>0</v>
      </c>
    </row>
    <row r="34" s="35" customFormat="1" ht="44" customHeight="1" spans="1:50">
      <c r="A34" s="56" t="s">
        <v>429</v>
      </c>
      <c r="B34" s="46"/>
      <c r="C34" s="46"/>
      <c r="D34" s="46"/>
      <c r="E34" s="46"/>
      <c r="F34" s="46"/>
      <c r="G34" s="46"/>
      <c r="H34" s="46"/>
      <c r="I34" s="46"/>
      <c r="J34" s="46"/>
      <c r="K34" s="46">
        <v>5</v>
      </c>
      <c r="L34" s="46"/>
      <c r="M34" s="46"/>
      <c r="N34" s="46"/>
      <c r="O34" s="46"/>
      <c r="P34" s="46"/>
      <c r="Q34" s="46"/>
      <c r="R34" s="46"/>
      <c r="S34" s="52"/>
      <c r="T34" s="52"/>
      <c r="U34" s="46"/>
      <c r="V34" s="46"/>
      <c r="W34" s="46"/>
      <c r="X34" s="46"/>
      <c r="Y34" s="46">
        <v>5</v>
      </c>
      <c r="Z34" s="46"/>
      <c r="AA34" s="46"/>
      <c r="AB34" s="46"/>
      <c r="AC34" s="46"/>
      <c r="AD34" s="46"/>
      <c r="AE34" s="46">
        <v>5</v>
      </c>
      <c r="AF34" s="46"/>
      <c r="AG34" s="46">
        <f t="shared" si="8"/>
        <v>15</v>
      </c>
      <c r="AH34" s="61">
        <v>40</v>
      </c>
      <c r="AI34" s="54">
        <f t="shared" si="5"/>
        <v>600</v>
      </c>
      <c r="AL34" s="56"/>
      <c r="AM34" s="55"/>
      <c r="AN34" s="60"/>
      <c r="AO34" s="56" t="s">
        <v>156</v>
      </c>
      <c r="AP34" s="55">
        <f t="shared" si="9"/>
        <v>600</v>
      </c>
      <c r="AQ34" s="60"/>
      <c r="AR34" s="52"/>
      <c r="AS34" s="55"/>
      <c r="AX34" s="35">
        <f>AP34-AI34</f>
        <v>0</v>
      </c>
    </row>
    <row r="35" s="35" customFormat="1" ht="44" customHeight="1" spans="1:50">
      <c r="A35" s="52" t="s">
        <v>350</v>
      </c>
      <c r="B35" s="46"/>
      <c r="C35" s="46"/>
      <c r="D35" s="46"/>
      <c r="E35" s="46"/>
      <c r="F35" s="46"/>
      <c r="G35" s="46">
        <v>1</v>
      </c>
      <c r="H35" s="46"/>
      <c r="I35" s="46"/>
      <c r="J35" s="46"/>
      <c r="K35" s="46"/>
      <c r="L35" s="46">
        <v>2</v>
      </c>
      <c r="M35" s="46">
        <v>1</v>
      </c>
      <c r="N35" s="46"/>
      <c r="O35" s="46">
        <v>2</v>
      </c>
      <c r="P35" s="46"/>
      <c r="Q35" s="46"/>
      <c r="R35" s="46"/>
      <c r="S35" s="52"/>
      <c r="T35" s="52"/>
      <c r="U35" s="46"/>
      <c r="V35" s="46">
        <v>2</v>
      </c>
      <c r="W35" s="46"/>
      <c r="X35" s="46"/>
      <c r="Y35" s="46"/>
      <c r="Z35" s="46">
        <v>1</v>
      </c>
      <c r="AA35" s="46">
        <v>1</v>
      </c>
      <c r="AB35" s="46"/>
      <c r="AC35" s="46">
        <v>2</v>
      </c>
      <c r="AD35" s="46">
        <v>1.5</v>
      </c>
      <c r="AE35" s="46"/>
      <c r="AF35" s="46"/>
      <c r="AG35" s="46">
        <f t="shared" si="8"/>
        <v>13.5</v>
      </c>
      <c r="AH35" s="53">
        <v>25</v>
      </c>
      <c r="AI35" s="54">
        <f t="shared" si="5"/>
        <v>337.5</v>
      </c>
      <c r="AL35" s="52" t="s">
        <v>350</v>
      </c>
      <c r="AM35" s="55">
        <f>AI35</f>
        <v>337.5</v>
      </c>
      <c r="AN35" s="60"/>
      <c r="AO35" s="55"/>
      <c r="AP35" s="55"/>
      <c r="AQ35" s="60"/>
      <c r="AR35" s="52"/>
      <c r="AS35" s="55"/>
      <c r="AV35" s="35">
        <f>AM35-AI35</f>
        <v>0</v>
      </c>
    </row>
    <row r="36" s="35" customFormat="1" ht="44" customHeight="1" spans="1:50">
      <c r="A36" s="56" t="s">
        <v>430</v>
      </c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52"/>
      <c r="T36" s="52"/>
      <c r="U36" s="46"/>
      <c r="V36" s="46"/>
      <c r="W36" s="46"/>
      <c r="X36" s="46">
        <v>1.5</v>
      </c>
      <c r="Y36" s="46"/>
      <c r="Z36" s="46"/>
      <c r="AA36" s="46"/>
      <c r="AB36" s="46"/>
      <c r="AC36" s="46"/>
      <c r="AD36" s="46"/>
      <c r="AE36" s="46"/>
      <c r="AF36" s="46"/>
      <c r="AG36" s="46">
        <f t="shared" si="8"/>
        <v>1.5</v>
      </c>
      <c r="AH36" s="53">
        <v>40</v>
      </c>
      <c r="AI36" s="54">
        <f t="shared" si="5"/>
        <v>60</v>
      </c>
      <c r="AL36" s="56"/>
      <c r="AM36" s="55"/>
      <c r="AN36" s="60"/>
      <c r="AO36" s="62" t="s">
        <v>350</v>
      </c>
      <c r="AP36" s="55">
        <f t="shared" si="9"/>
        <v>60</v>
      </c>
      <c r="AQ36" s="60"/>
      <c r="AR36" s="52"/>
      <c r="AS36" s="55"/>
      <c r="AX36" s="35">
        <f>AP36-AI36</f>
        <v>0</v>
      </c>
    </row>
    <row r="37" s="35" customFormat="1" ht="44" customHeight="1" spans="1:50">
      <c r="A37" s="52" t="s">
        <v>149</v>
      </c>
      <c r="B37" s="46"/>
      <c r="C37" s="46"/>
      <c r="D37" s="46"/>
      <c r="E37" s="46"/>
      <c r="F37" s="46"/>
      <c r="G37" s="46">
        <v>2.5</v>
      </c>
      <c r="H37" s="46">
        <v>2</v>
      </c>
      <c r="I37" s="46">
        <v>3</v>
      </c>
      <c r="J37" s="46"/>
      <c r="K37" s="46"/>
      <c r="L37" s="46">
        <v>2.5</v>
      </c>
      <c r="M37" s="46">
        <v>3.5</v>
      </c>
      <c r="N37" s="46">
        <v>3.5</v>
      </c>
      <c r="O37" s="46">
        <v>3</v>
      </c>
      <c r="P37" s="46"/>
      <c r="Q37" s="46"/>
      <c r="R37" s="46"/>
      <c r="S37" s="46">
        <v>3</v>
      </c>
      <c r="T37" s="46">
        <v>3</v>
      </c>
      <c r="U37" s="46">
        <v>3.5</v>
      </c>
      <c r="V37" s="46">
        <v>3.5</v>
      </c>
      <c r="W37" s="46"/>
      <c r="X37" s="46"/>
      <c r="Y37" s="46"/>
      <c r="Z37" s="46">
        <v>3</v>
      </c>
      <c r="AA37" s="46">
        <v>4</v>
      </c>
      <c r="AB37" s="46">
        <v>3.5</v>
      </c>
      <c r="AC37" s="46">
        <v>3.5</v>
      </c>
      <c r="AD37" s="46"/>
      <c r="AE37" s="46"/>
      <c r="AF37" s="46"/>
      <c r="AG37" s="46">
        <f t="shared" si="8"/>
        <v>47</v>
      </c>
      <c r="AH37" s="61">
        <v>25</v>
      </c>
      <c r="AI37" s="54">
        <f t="shared" si="5"/>
        <v>1175</v>
      </c>
      <c r="AL37" s="52" t="s">
        <v>149</v>
      </c>
      <c r="AM37" s="55">
        <f>AI37</f>
        <v>1175</v>
      </c>
      <c r="AO37" s="52"/>
      <c r="AP37" s="55"/>
      <c r="AR37" s="52"/>
      <c r="AS37" s="55"/>
      <c r="AV37" s="35">
        <f>AM37-AI37</f>
        <v>0</v>
      </c>
    </row>
    <row r="38" s="35" customFormat="1" ht="44" customHeight="1" spans="1:50">
      <c r="A38" s="56" t="s">
        <v>431</v>
      </c>
      <c r="B38" s="46"/>
      <c r="C38" s="46"/>
      <c r="D38" s="46"/>
      <c r="E38" s="46"/>
      <c r="F38" s="46"/>
      <c r="G38" s="46"/>
      <c r="H38" s="46"/>
      <c r="I38" s="46"/>
      <c r="J38" s="46"/>
      <c r="K38" s="46">
        <v>5</v>
      </c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>
        <v>5</v>
      </c>
      <c r="Z38" s="46"/>
      <c r="AA38" s="46"/>
      <c r="AB38" s="46"/>
      <c r="AC38" s="46"/>
      <c r="AD38" s="46"/>
      <c r="AE38" s="46">
        <v>8</v>
      </c>
      <c r="AF38" s="46"/>
      <c r="AG38" s="46">
        <f t="shared" si="8"/>
        <v>18</v>
      </c>
      <c r="AH38" s="61">
        <v>40</v>
      </c>
      <c r="AI38" s="54">
        <f t="shared" si="5"/>
        <v>720</v>
      </c>
      <c r="AL38" s="56"/>
      <c r="AM38" s="55"/>
      <c r="AO38" s="56" t="s">
        <v>149</v>
      </c>
      <c r="AP38" s="55">
        <f>AI38</f>
        <v>720</v>
      </c>
      <c r="AR38" s="52"/>
      <c r="AS38" s="55"/>
      <c r="AX38" s="35">
        <f>AP38-AI38</f>
        <v>0</v>
      </c>
    </row>
    <row r="39" s="35" customFormat="1" ht="44" customHeight="1" spans="1:50">
      <c r="A39" s="52" t="s">
        <v>161</v>
      </c>
      <c r="B39" s="46"/>
      <c r="C39" s="46"/>
      <c r="D39" s="46"/>
      <c r="E39" s="46"/>
      <c r="F39" s="46"/>
      <c r="G39" s="46">
        <v>4.5</v>
      </c>
      <c r="H39" s="46">
        <v>2.5</v>
      </c>
      <c r="I39" s="46"/>
      <c r="J39" s="46">
        <v>4.5</v>
      </c>
      <c r="K39" s="46"/>
      <c r="L39" s="46">
        <v>4</v>
      </c>
      <c r="M39" s="46">
        <v>4.5</v>
      </c>
      <c r="N39" s="46">
        <v>4</v>
      </c>
      <c r="O39" s="46">
        <v>4</v>
      </c>
      <c r="P39" s="46">
        <v>3.5</v>
      </c>
      <c r="Q39" s="46"/>
      <c r="R39" s="46"/>
      <c r="S39" s="46">
        <v>5</v>
      </c>
      <c r="T39" s="46">
        <v>5</v>
      </c>
      <c r="U39" s="46">
        <v>4.5</v>
      </c>
      <c r="V39" s="46">
        <v>2.5</v>
      </c>
      <c r="W39" s="46">
        <v>3.5</v>
      </c>
      <c r="X39" s="46"/>
      <c r="Y39" s="46"/>
      <c r="Z39" s="46">
        <v>3.5</v>
      </c>
      <c r="AA39" s="46"/>
      <c r="AB39" s="46">
        <v>2</v>
      </c>
      <c r="AC39" s="46">
        <v>3</v>
      </c>
      <c r="AD39" s="46"/>
      <c r="AE39" s="46"/>
      <c r="AF39" s="46"/>
      <c r="AG39" s="46">
        <f t="shared" si="8"/>
        <v>60.5</v>
      </c>
      <c r="AH39" s="61">
        <v>25</v>
      </c>
      <c r="AI39" s="54">
        <f t="shared" si="5"/>
        <v>1512.5</v>
      </c>
      <c r="AL39" s="52" t="s">
        <v>161</v>
      </c>
      <c r="AM39" s="55">
        <f>AI39</f>
        <v>1512.5</v>
      </c>
      <c r="AO39" s="52"/>
      <c r="AP39" s="55"/>
      <c r="AR39" s="52"/>
      <c r="AS39" s="55"/>
      <c r="AV39" s="35">
        <f>AM39-AI39</f>
        <v>0</v>
      </c>
    </row>
    <row r="40" s="35" customFormat="1" ht="44" customHeight="1" spans="1:50">
      <c r="A40" s="64" t="s">
        <v>432</v>
      </c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>
        <v>6.5</v>
      </c>
      <c r="Y40" s="46"/>
      <c r="Z40" s="46"/>
      <c r="AA40" s="46"/>
      <c r="AB40" s="46"/>
      <c r="AC40" s="46"/>
      <c r="AD40" s="46"/>
      <c r="AE40" s="46"/>
      <c r="AF40" s="46"/>
      <c r="AG40" s="46">
        <f t="shared" si="8"/>
        <v>6.5</v>
      </c>
      <c r="AH40" s="53">
        <v>40</v>
      </c>
      <c r="AI40" s="54">
        <f t="shared" si="5"/>
        <v>260</v>
      </c>
      <c r="AL40" s="64"/>
      <c r="AM40" s="55"/>
      <c r="AO40" s="64" t="s">
        <v>161</v>
      </c>
      <c r="AP40" s="55">
        <f>AI40</f>
        <v>260</v>
      </c>
      <c r="AR40" s="52"/>
      <c r="AS40" s="55"/>
      <c r="AX40" s="35">
        <f>AP40-AI40</f>
        <v>0</v>
      </c>
    </row>
    <row r="41" s="35" customFormat="1" ht="44" customHeight="1" spans="1:50">
      <c r="A41" s="46" t="s">
        <v>393</v>
      </c>
      <c r="B41" s="46"/>
      <c r="C41" s="46"/>
      <c r="D41" s="46"/>
      <c r="E41" s="46"/>
      <c r="F41" s="46"/>
      <c r="G41" s="46"/>
      <c r="H41" s="46"/>
      <c r="I41" s="46"/>
      <c r="J41" s="46">
        <v>2.5</v>
      </c>
      <c r="K41" s="46"/>
      <c r="L41" s="46"/>
      <c r="M41" s="46"/>
      <c r="N41" s="46"/>
      <c r="O41" s="46"/>
      <c r="P41" s="46">
        <v>2.5</v>
      </c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>
        <f t="shared" si="8"/>
        <v>5</v>
      </c>
      <c r="AH41" s="61">
        <v>25</v>
      </c>
      <c r="AI41" s="54">
        <f t="shared" si="5"/>
        <v>125</v>
      </c>
      <c r="AL41" s="55" t="s">
        <v>393</v>
      </c>
      <c r="AM41" s="55">
        <f>AI41</f>
        <v>125</v>
      </c>
      <c r="AO41" s="55"/>
      <c r="AP41" s="55"/>
      <c r="AR41" s="52"/>
      <c r="AS41" s="55"/>
      <c r="AV41" s="35">
        <f>AM41-AI41</f>
        <v>0</v>
      </c>
    </row>
    <row r="42" s="35" customFormat="1" ht="44" customHeight="1" spans="1:50">
      <c r="A42" s="46" t="s">
        <v>355</v>
      </c>
      <c r="B42" s="46"/>
      <c r="C42" s="46"/>
      <c r="D42" s="46"/>
      <c r="E42" s="46"/>
      <c r="F42" s="46"/>
      <c r="G42" s="46"/>
      <c r="H42" s="46"/>
      <c r="I42" s="46"/>
      <c r="J42" s="46">
        <v>2</v>
      </c>
      <c r="K42" s="46"/>
      <c r="L42" s="46"/>
      <c r="M42" s="46">
        <v>2.5</v>
      </c>
      <c r="N42" s="46"/>
      <c r="O42" s="46"/>
      <c r="P42" s="46"/>
      <c r="Q42" s="46"/>
      <c r="R42" s="46"/>
      <c r="S42" s="46">
        <v>2</v>
      </c>
      <c r="T42" s="46"/>
      <c r="U42" s="46"/>
      <c r="V42" s="46">
        <v>2</v>
      </c>
      <c r="W42" s="46">
        <v>1.5</v>
      </c>
      <c r="X42" s="46"/>
      <c r="Y42" s="46"/>
      <c r="Z42" s="46">
        <v>2.5</v>
      </c>
      <c r="AA42" s="46"/>
      <c r="AB42" s="46"/>
      <c r="AC42" s="46">
        <v>1.5</v>
      </c>
      <c r="AD42" s="46"/>
      <c r="AE42" s="46"/>
      <c r="AF42" s="46"/>
      <c r="AG42" s="46">
        <f t="shared" si="8"/>
        <v>14</v>
      </c>
      <c r="AH42" s="61">
        <v>25</v>
      </c>
      <c r="AI42" s="54">
        <f t="shared" si="5"/>
        <v>350</v>
      </c>
      <c r="AL42" s="55" t="s">
        <v>355</v>
      </c>
      <c r="AM42" s="55">
        <f>AI42</f>
        <v>350</v>
      </c>
      <c r="AO42" s="55"/>
      <c r="AP42" s="55"/>
      <c r="AR42" s="52"/>
      <c r="AS42" s="55"/>
      <c r="AV42" s="35">
        <f>AM42-AI42</f>
        <v>0</v>
      </c>
    </row>
    <row r="43" s="35" customFormat="1" ht="44" customHeight="1" spans="1:50">
      <c r="A43" s="52" t="s">
        <v>158</v>
      </c>
      <c r="B43" s="46"/>
      <c r="C43" s="46"/>
      <c r="D43" s="46"/>
      <c r="E43" s="46"/>
      <c r="F43" s="46"/>
      <c r="G43" s="46">
        <v>2.5</v>
      </c>
      <c r="H43" s="46">
        <v>2</v>
      </c>
      <c r="I43" s="46">
        <v>3.5</v>
      </c>
      <c r="J43" s="46"/>
      <c r="K43" s="46"/>
      <c r="L43" s="46">
        <v>2.5</v>
      </c>
      <c r="M43" s="46">
        <v>4</v>
      </c>
      <c r="N43" s="46">
        <v>3.5</v>
      </c>
      <c r="O43" s="46">
        <v>4</v>
      </c>
      <c r="P43" s="46"/>
      <c r="Q43" s="46"/>
      <c r="R43" s="46"/>
      <c r="S43" s="46">
        <v>3</v>
      </c>
      <c r="T43" s="46">
        <v>3</v>
      </c>
      <c r="U43" s="46">
        <v>3</v>
      </c>
      <c r="V43" s="46">
        <v>3</v>
      </c>
      <c r="W43" s="46"/>
      <c r="X43" s="46"/>
      <c r="Y43" s="46"/>
      <c r="Z43" s="46">
        <v>3</v>
      </c>
      <c r="AA43" s="46">
        <v>4</v>
      </c>
      <c r="AB43" s="46">
        <v>3</v>
      </c>
      <c r="AC43" s="46">
        <v>3.5</v>
      </c>
      <c r="AD43" s="46"/>
      <c r="AE43" s="46"/>
      <c r="AF43" s="46"/>
      <c r="AG43" s="46">
        <f t="shared" ref="AG43:AG73" si="10">SUM(B43:AF43)</f>
        <v>47.5</v>
      </c>
      <c r="AH43" s="61">
        <v>25</v>
      </c>
      <c r="AI43" s="54">
        <f t="shared" ref="AI43:AI73" si="11">AG43*AH43</f>
        <v>1187.5</v>
      </c>
      <c r="AL43" s="52" t="s">
        <v>158</v>
      </c>
      <c r="AM43" s="55">
        <f>AI43</f>
        <v>1187.5</v>
      </c>
      <c r="AO43" s="52"/>
      <c r="AP43" s="55"/>
      <c r="AR43" s="52"/>
      <c r="AS43" s="55"/>
      <c r="AV43" s="35">
        <f>AM43-AI43</f>
        <v>0</v>
      </c>
    </row>
    <row r="44" s="35" customFormat="1" ht="44" customHeight="1" spans="1:50">
      <c r="A44" s="64" t="s">
        <v>433</v>
      </c>
      <c r="B44" s="52"/>
      <c r="C44" s="52"/>
      <c r="D44" s="52"/>
      <c r="E44" s="52"/>
      <c r="F44" s="52"/>
      <c r="G44" s="52"/>
      <c r="H44" s="52"/>
      <c r="I44" s="52"/>
      <c r="J44" s="52"/>
      <c r="K44" s="52">
        <v>4.5</v>
      </c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>
        <v>4.5</v>
      </c>
      <c r="AF44" s="52"/>
      <c r="AG44" s="46">
        <f t="shared" si="10"/>
        <v>9</v>
      </c>
      <c r="AH44" s="53">
        <v>40</v>
      </c>
      <c r="AI44" s="54">
        <f t="shared" si="11"/>
        <v>360</v>
      </c>
      <c r="AL44" s="64"/>
      <c r="AM44" s="55"/>
      <c r="AO44" s="64" t="s">
        <v>158</v>
      </c>
      <c r="AP44" s="55">
        <f>AI44</f>
        <v>360</v>
      </c>
      <c r="AR44" s="46"/>
      <c r="AS44" s="55"/>
      <c r="AX44" s="35">
        <f>AP44-AI44</f>
        <v>0</v>
      </c>
    </row>
    <row r="45" s="35" customFormat="1" ht="44" customHeight="1" spans="1:50">
      <c r="A45" s="46" t="s">
        <v>152</v>
      </c>
      <c r="B45" s="52"/>
      <c r="C45" s="52"/>
      <c r="D45" s="52"/>
      <c r="E45" s="52"/>
      <c r="F45" s="52"/>
      <c r="G45" s="52">
        <v>2.5</v>
      </c>
      <c r="H45" s="52">
        <v>2.5</v>
      </c>
      <c r="I45" s="52">
        <v>3.5</v>
      </c>
      <c r="J45" s="52">
        <v>1.5</v>
      </c>
      <c r="K45" s="52"/>
      <c r="L45" s="52">
        <v>2.5</v>
      </c>
      <c r="M45" s="52">
        <v>2</v>
      </c>
      <c r="N45" s="52">
        <v>3</v>
      </c>
      <c r="O45" s="52">
        <v>2.5</v>
      </c>
      <c r="P45" s="52"/>
      <c r="Q45" s="52"/>
      <c r="R45" s="52"/>
      <c r="S45" s="52">
        <v>1.5</v>
      </c>
      <c r="T45" s="52">
        <v>2</v>
      </c>
      <c r="U45" s="52">
        <v>2.5</v>
      </c>
      <c r="V45" s="52">
        <v>1.5</v>
      </c>
      <c r="W45" s="52">
        <v>1</v>
      </c>
      <c r="X45" s="52"/>
      <c r="Y45" s="52"/>
      <c r="Z45" s="52">
        <v>2.5</v>
      </c>
      <c r="AA45" s="52">
        <v>2.5</v>
      </c>
      <c r="AB45" s="52">
        <v>3</v>
      </c>
      <c r="AC45" s="52">
        <v>3.5</v>
      </c>
      <c r="AD45" s="52">
        <v>1.5</v>
      </c>
      <c r="AE45" s="52"/>
      <c r="AF45" s="52"/>
      <c r="AG45" s="46">
        <f t="shared" si="10"/>
        <v>41.5</v>
      </c>
      <c r="AH45" s="53">
        <v>25</v>
      </c>
      <c r="AI45" s="54">
        <f t="shared" si="11"/>
        <v>1037.5</v>
      </c>
      <c r="AL45" s="46" t="s">
        <v>152</v>
      </c>
      <c r="AM45" s="55">
        <f>AI45</f>
        <v>1037.5</v>
      </c>
      <c r="AO45" s="46"/>
      <c r="AP45" s="55"/>
      <c r="AR45" s="46"/>
      <c r="AS45" s="55"/>
      <c r="AV45" s="35">
        <f>AM45-AI45</f>
        <v>0</v>
      </c>
    </row>
    <row r="46" s="35" customFormat="1" ht="44" customHeight="1" spans="1:50">
      <c r="A46" s="64" t="s">
        <v>434</v>
      </c>
      <c r="B46" s="52"/>
      <c r="C46" s="52"/>
      <c r="D46" s="52"/>
      <c r="E46" s="52"/>
      <c r="F46" s="52"/>
      <c r="G46" s="52"/>
      <c r="H46" s="52"/>
      <c r="I46" s="52"/>
      <c r="J46" s="52"/>
      <c r="K46" s="52">
        <v>5.5</v>
      </c>
      <c r="L46" s="52"/>
      <c r="M46" s="52"/>
      <c r="N46" s="52"/>
      <c r="O46" s="52"/>
      <c r="P46" s="52"/>
      <c r="Q46" s="52"/>
      <c r="R46" s="52">
        <v>6.5</v>
      </c>
      <c r="S46" s="52"/>
      <c r="T46" s="52"/>
      <c r="U46" s="52"/>
      <c r="V46" s="52"/>
      <c r="W46" s="52"/>
      <c r="X46" s="52"/>
      <c r="Y46" s="52">
        <v>8.5</v>
      </c>
      <c r="Z46" s="52"/>
      <c r="AA46" s="52"/>
      <c r="AB46" s="52"/>
      <c r="AC46" s="52"/>
      <c r="AD46" s="52"/>
      <c r="AE46" s="52">
        <v>6</v>
      </c>
      <c r="AF46" s="52"/>
      <c r="AG46" s="46">
        <f t="shared" si="10"/>
        <v>26.5</v>
      </c>
      <c r="AH46" s="53">
        <v>40</v>
      </c>
      <c r="AI46" s="54">
        <f t="shared" si="11"/>
        <v>1060</v>
      </c>
      <c r="AL46" s="56"/>
      <c r="AM46" s="55"/>
      <c r="AO46" s="56" t="s">
        <v>152</v>
      </c>
      <c r="AP46" s="55">
        <f>AI46</f>
        <v>1060</v>
      </c>
      <c r="AR46" s="46"/>
      <c r="AS46" s="55"/>
      <c r="AX46" s="35">
        <f>AP46-AI46</f>
        <v>0</v>
      </c>
    </row>
    <row r="47" s="35" customFormat="1" ht="44" customHeight="1" spans="1:50">
      <c r="A47" s="52" t="s">
        <v>131</v>
      </c>
      <c r="B47" s="52"/>
      <c r="C47" s="52"/>
      <c r="D47" s="52"/>
      <c r="E47" s="52"/>
      <c r="F47" s="52"/>
      <c r="G47" s="52"/>
      <c r="H47" s="52">
        <v>2.5</v>
      </c>
      <c r="I47" s="52">
        <v>2.5</v>
      </c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>
        <v>1.5</v>
      </c>
      <c r="AD47" s="52"/>
      <c r="AE47" s="52"/>
      <c r="AF47" s="52"/>
      <c r="AG47" s="46">
        <f t="shared" si="10"/>
        <v>6.5</v>
      </c>
      <c r="AH47" s="61">
        <v>25</v>
      </c>
      <c r="AI47" s="54">
        <f t="shared" si="11"/>
        <v>162.5</v>
      </c>
      <c r="AL47" s="52" t="s">
        <v>131</v>
      </c>
      <c r="AM47" s="55">
        <f>AI47</f>
        <v>162.5</v>
      </c>
      <c r="AO47" s="52"/>
      <c r="AP47" s="55"/>
      <c r="AR47" s="52"/>
      <c r="AS47" s="55"/>
      <c r="AV47" s="35">
        <f>AM47-AI47</f>
        <v>0</v>
      </c>
    </row>
    <row r="48" s="35" customFormat="1" ht="44" customHeight="1" spans="1:50">
      <c r="A48" s="56" t="s">
        <v>435</v>
      </c>
      <c r="B48" s="46"/>
      <c r="C48" s="46"/>
      <c r="D48" s="46"/>
      <c r="E48" s="46"/>
      <c r="F48" s="46"/>
      <c r="G48" s="46"/>
      <c r="H48" s="46"/>
      <c r="I48" s="46"/>
      <c r="J48" s="46"/>
      <c r="K48" s="46">
        <v>5</v>
      </c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>
        <f t="shared" si="10"/>
        <v>5</v>
      </c>
      <c r="AH48" s="61">
        <v>40</v>
      </c>
      <c r="AI48" s="54">
        <f t="shared" si="11"/>
        <v>200</v>
      </c>
      <c r="AL48" s="56"/>
      <c r="AM48" s="55"/>
      <c r="AO48" s="56" t="s">
        <v>131</v>
      </c>
      <c r="AP48" s="55">
        <f>AI48</f>
        <v>200</v>
      </c>
      <c r="AR48" s="52"/>
      <c r="AS48" s="55"/>
      <c r="AX48" s="35">
        <f>AP48-AI48</f>
        <v>0</v>
      </c>
    </row>
    <row r="49" s="35" customFormat="1" ht="44" customHeight="1" spans="1:50">
      <c r="A49" s="46" t="s">
        <v>142</v>
      </c>
      <c r="B49" s="52"/>
      <c r="C49" s="52"/>
      <c r="D49" s="52"/>
      <c r="E49" s="52"/>
      <c r="F49" s="52"/>
      <c r="G49" s="52"/>
      <c r="H49" s="52">
        <v>1</v>
      </c>
      <c r="I49" s="52">
        <v>1</v>
      </c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46">
        <f t="shared" si="10"/>
        <v>2</v>
      </c>
      <c r="AH49" s="53">
        <v>25</v>
      </c>
      <c r="AI49" s="54">
        <f t="shared" si="11"/>
        <v>50</v>
      </c>
      <c r="AL49" s="46" t="s">
        <v>142</v>
      </c>
      <c r="AM49" s="55">
        <f>AI49</f>
        <v>50</v>
      </c>
      <c r="AO49" s="46"/>
      <c r="AP49" s="55"/>
      <c r="AR49" s="46"/>
      <c r="AS49" s="55"/>
      <c r="AV49" s="35">
        <f>AM49-AI49</f>
        <v>0</v>
      </c>
    </row>
    <row r="50" s="35" customFormat="1" ht="44" customHeight="1" spans="1:50">
      <c r="A50" s="64" t="s">
        <v>436</v>
      </c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>
        <v>7</v>
      </c>
      <c r="Z50" s="52"/>
      <c r="AA50" s="52"/>
      <c r="AB50" s="52"/>
      <c r="AC50" s="52"/>
      <c r="AD50" s="52"/>
      <c r="AE50" s="52"/>
      <c r="AF50" s="52"/>
      <c r="AG50" s="46">
        <f t="shared" si="10"/>
        <v>7</v>
      </c>
      <c r="AH50" s="53">
        <v>40</v>
      </c>
      <c r="AI50" s="54">
        <f t="shared" si="11"/>
        <v>280</v>
      </c>
      <c r="AL50" s="64"/>
      <c r="AM50" s="55"/>
      <c r="AO50" s="64" t="s">
        <v>142</v>
      </c>
      <c r="AP50" s="55">
        <f t="shared" ref="AP50:AP55" si="12">AI50</f>
        <v>280</v>
      </c>
      <c r="AR50" s="46"/>
      <c r="AS50" s="55"/>
      <c r="AX50" s="35">
        <f t="shared" ref="AX50:AX55" si="13">AP50-AI50</f>
        <v>0</v>
      </c>
    </row>
    <row r="51" s="35" customFormat="1" ht="44" customHeight="1" spans="1:50">
      <c r="A51" s="46" t="s">
        <v>141</v>
      </c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>
        <v>1.5</v>
      </c>
      <c r="T51" s="52">
        <v>2</v>
      </c>
      <c r="U51" s="52">
        <v>1.5</v>
      </c>
      <c r="V51" s="52">
        <v>1</v>
      </c>
      <c r="W51" s="52">
        <v>1.5</v>
      </c>
      <c r="X51" s="52"/>
      <c r="Y51" s="52"/>
      <c r="Z51" s="52">
        <v>1</v>
      </c>
      <c r="AA51" s="52">
        <v>2</v>
      </c>
      <c r="AB51" s="52">
        <v>2.5</v>
      </c>
      <c r="AC51" s="52">
        <v>1.5</v>
      </c>
      <c r="AD51" s="52">
        <v>1.5</v>
      </c>
      <c r="AE51" s="52"/>
      <c r="AF51" s="52"/>
      <c r="AG51" s="46">
        <f t="shared" si="10"/>
        <v>16</v>
      </c>
      <c r="AH51" s="53">
        <v>25</v>
      </c>
      <c r="AI51" s="54">
        <f t="shared" si="11"/>
        <v>400</v>
      </c>
      <c r="AL51" s="58" t="s">
        <v>141</v>
      </c>
      <c r="AM51" s="55">
        <f t="shared" ref="AM51:AM57" si="14">AI51</f>
        <v>400</v>
      </c>
      <c r="AO51" s="55"/>
      <c r="AP51" s="55"/>
      <c r="AR51" s="46"/>
      <c r="AS51" s="55"/>
      <c r="AV51" s="35">
        <f>AM51-AI51</f>
        <v>0</v>
      </c>
    </row>
    <row r="52" s="35" customFormat="1" ht="44" customHeight="1" spans="1:50">
      <c r="A52" s="64" t="s">
        <v>437</v>
      </c>
      <c r="B52" s="46"/>
      <c r="C52" s="46"/>
      <c r="D52" s="46"/>
      <c r="E52" s="46"/>
      <c r="F52" s="46"/>
      <c r="G52" s="46"/>
      <c r="H52" s="46"/>
      <c r="I52" s="46"/>
      <c r="J52" s="52"/>
      <c r="K52" s="46">
        <v>5.5</v>
      </c>
      <c r="L52" s="46"/>
      <c r="M52" s="52"/>
      <c r="N52" s="46"/>
      <c r="O52" s="46"/>
      <c r="P52" s="46"/>
      <c r="Q52" s="46">
        <v>4</v>
      </c>
      <c r="R52" s="46">
        <v>8.5</v>
      </c>
      <c r="S52" s="46"/>
      <c r="T52" s="52"/>
      <c r="U52" s="46"/>
      <c r="V52" s="52"/>
      <c r="W52" s="46"/>
      <c r="X52" s="46">
        <v>11.5</v>
      </c>
      <c r="Y52" s="46"/>
      <c r="Z52" s="46"/>
      <c r="AA52" s="46"/>
      <c r="AB52" s="46"/>
      <c r="AC52" s="46"/>
      <c r="AD52" s="46"/>
      <c r="AE52" s="46">
        <v>9.5</v>
      </c>
      <c r="AF52" s="46">
        <v>8</v>
      </c>
      <c r="AG52" s="46">
        <f t="shared" si="10"/>
        <v>47</v>
      </c>
      <c r="AH52" s="61">
        <v>40</v>
      </c>
      <c r="AI52" s="54">
        <f t="shared" si="11"/>
        <v>1880</v>
      </c>
      <c r="AL52" s="64"/>
      <c r="AM52" s="55"/>
      <c r="AO52" s="64" t="s">
        <v>141</v>
      </c>
      <c r="AP52" s="55">
        <f t="shared" si="12"/>
        <v>1880</v>
      </c>
      <c r="AR52" s="52"/>
      <c r="AS52" s="55"/>
      <c r="AX52" s="35">
        <f t="shared" si="13"/>
        <v>0</v>
      </c>
    </row>
    <row r="53" s="35" customFormat="1" ht="44" customHeight="1" spans="1:50">
      <c r="A53" s="56" t="s">
        <v>438</v>
      </c>
      <c r="B53" s="46"/>
      <c r="C53" s="46"/>
      <c r="D53" s="46">
        <v>7</v>
      </c>
      <c r="E53" s="46">
        <v>9.5</v>
      </c>
      <c r="F53" s="46">
        <v>11.5</v>
      </c>
      <c r="G53" s="46"/>
      <c r="H53" s="46"/>
      <c r="I53" s="46"/>
      <c r="J53" s="46"/>
      <c r="K53" s="46">
        <v>12</v>
      </c>
      <c r="L53" s="46"/>
      <c r="M53" s="46"/>
      <c r="N53" s="46"/>
      <c r="O53" s="46"/>
      <c r="P53" s="46"/>
      <c r="Q53" s="46">
        <v>6.5</v>
      </c>
      <c r="R53" s="46">
        <v>13.5</v>
      </c>
      <c r="S53" s="46"/>
      <c r="T53" s="46"/>
      <c r="U53" s="46"/>
      <c r="V53" s="52"/>
      <c r="W53" s="46"/>
      <c r="X53" s="46">
        <v>10</v>
      </c>
      <c r="Y53" s="46">
        <v>8.5</v>
      </c>
      <c r="Z53" s="46"/>
      <c r="AA53" s="46"/>
      <c r="AB53" s="46"/>
      <c r="AC53" s="46"/>
      <c r="AD53" s="46"/>
      <c r="AE53" s="46">
        <v>11</v>
      </c>
      <c r="AF53" s="46">
        <v>6.5</v>
      </c>
      <c r="AG53" s="46">
        <f t="shared" si="10"/>
        <v>96</v>
      </c>
      <c r="AH53" s="61">
        <v>40</v>
      </c>
      <c r="AI53" s="54">
        <f t="shared" si="11"/>
        <v>3840</v>
      </c>
      <c r="AL53" s="56"/>
      <c r="AM53" s="55"/>
      <c r="AO53" s="56" t="s">
        <v>133</v>
      </c>
      <c r="AP53" s="55">
        <f t="shared" si="12"/>
        <v>3840</v>
      </c>
      <c r="AR53" s="52"/>
      <c r="AS53" s="55"/>
      <c r="AX53" s="35">
        <f t="shared" si="13"/>
        <v>0</v>
      </c>
    </row>
    <row r="54" s="35" customFormat="1" ht="44" customHeight="1" spans="1:50">
      <c r="A54" s="46" t="s">
        <v>136</v>
      </c>
      <c r="B54" s="46"/>
      <c r="C54" s="46"/>
      <c r="D54" s="46"/>
      <c r="E54" s="46"/>
      <c r="F54" s="46"/>
      <c r="G54" s="46">
        <v>1</v>
      </c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>
        <v>1</v>
      </c>
      <c r="U54" s="46"/>
      <c r="V54" s="52">
        <v>1</v>
      </c>
      <c r="W54" s="46">
        <v>1</v>
      </c>
      <c r="X54" s="46"/>
      <c r="Y54" s="46"/>
      <c r="Z54" s="46"/>
      <c r="AA54" s="46"/>
      <c r="AB54" s="46">
        <v>1</v>
      </c>
      <c r="AC54" s="46">
        <v>1</v>
      </c>
      <c r="AD54" s="46">
        <v>1</v>
      </c>
      <c r="AE54" s="46"/>
      <c r="AF54" s="46"/>
      <c r="AG54" s="46">
        <f t="shared" si="10"/>
        <v>7</v>
      </c>
      <c r="AH54" s="53">
        <v>25</v>
      </c>
      <c r="AI54" s="54">
        <f t="shared" si="11"/>
        <v>175</v>
      </c>
      <c r="AL54" s="58" t="s">
        <v>136</v>
      </c>
      <c r="AM54" s="55">
        <f t="shared" si="14"/>
        <v>175</v>
      </c>
      <c r="AO54" s="55"/>
      <c r="AP54" s="55"/>
      <c r="AR54" s="52"/>
      <c r="AS54" s="55"/>
      <c r="AV54" s="35">
        <f>AM54-AI54</f>
        <v>0</v>
      </c>
    </row>
    <row r="55" s="35" customFormat="1" ht="44" customHeight="1" spans="1:50">
      <c r="A55" s="64" t="s">
        <v>439</v>
      </c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>
        <v>9</v>
      </c>
      <c r="S55" s="46"/>
      <c r="T55" s="46"/>
      <c r="U55" s="46"/>
      <c r="V55" s="52"/>
      <c r="W55" s="46"/>
      <c r="X55" s="46">
        <v>1</v>
      </c>
      <c r="Y55" s="46">
        <v>7.5</v>
      </c>
      <c r="Z55" s="46"/>
      <c r="AA55" s="46"/>
      <c r="AB55" s="46"/>
      <c r="AC55" s="46"/>
      <c r="AD55" s="46"/>
      <c r="AE55" s="46"/>
      <c r="AF55" s="46"/>
      <c r="AG55" s="46">
        <f t="shared" si="10"/>
        <v>17.5</v>
      </c>
      <c r="AH55" s="61">
        <v>40</v>
      </c>
      <c r="AI55" s="54">
        <f t="shared" si="11"/>
        <v>700</v>
      </c>
      <c r="AL55" s="63"/>
      <c r="AM55" s="55"/>
      <c r="AO55" s="63" t="s">
        <v>136</v>
      </c>
      <c r="AP55" s="55">
        <f>AI55</f>
        <v>700</v>
      </c>
      <c r="AR55" s="52"/>
      <c r="AS55" s="55"/>
      <c r="AX55" s="35">
        <f>AP55-AI55</f>
        <v>0</v>
      </c>
    </row>
    <row r="56" s="35" customFormat="1" ht="44" customHeight="1" spans="1:50">
      <c r="A56" s="46" t="s">
        <v>139</v>
      </c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>
        <v>1</v>
      </c>
      <c r="T56" s="46"/>
      <c r="U56" s="46"/>
      <c r="V56" s="52"/>
      <c r="W56" s="46"/>
      <c r="X56" s="46"/>
      <c r="Y56" s="46"/>
      <c r="Z56" s="46"/>
      <c r="AA56" s="46">
        <v>1</v>
      </c>
      <c r="AB56" s="46"/>
      <c r="AC56" s="46"/>
      <c r="AD56" s="46"/>
      <c r="AE56" s="46"/>
      <c r="AF56" s="46"/>
      <c r="AG56" s="46">
        <f t="shared" si="10"/>
        <v>2</v>
      </c>
      <c r="AH56" s="53">
        <v>25</v>
      </c>
      <c r="AI56" s="54">
        <f t="shared" si="11"/>
        <v>50</v>
      </c>
      <c r="AL56" s="55" t="s">
        <v>139</v>
      </c>
      <c r="AM56" s="55">
        <f t="shared" si="14"/>
        <v>50</v>
      </c>
      <c r="AO56" s="55"/>
      <c r="AP56" s="55"/>
      <c r="AR56" s="52"/>
      <c r="AS56" s="55"/>
      <c r="AV56" s="35">
        <f>AM56-AI56</f>
        <v>0</v>
      </c>
    </row>
    <row r="57" s="35" customFormat="1" ht="44" customHeight="1" spans="1:50">
      <c r="A57" s="52" t="s">
        <v>129</v>
      </c>
      <c r="B57" s="46"/>
      <c r="C57" s="46"/>
      <c r="D57" s="46"/>
      <c r="E57" s="46"/>
      <c r="F57" s="46"/>
      <c r="G57" s="46"/>
      <c r="H57" s="46">
        <v>3.5</v>
      </c>
      <c r="I57" s="46">
        <v>3</v>
      </c>
      <c r="J57" s="52"/>
      <c r="K57" s="46"/>
      <c r="L57" s="46"/>
      <c r="M57" s="52"/>
      <c r="N57" s="46">
        <v>1</v>
      </c>
      <c r="O57" s="46">
        <v>1.5</v>
      </c>
      <c r="P57" s="46"/>
      <c r="Q57" s="46"/>
      <c r="R57" s="46"/>
      <c r="S57" s="46"/>
      <c r="T57" s="46">
        <v>1</v>
      </c>
      <c r="U57" s="46"/>
      <c r="V57" s="52"/>
      <c r="W57" s="46"/>
      <c r="X57" s="46"/>
      <c r="Y57" s="46"/>
      <c r="Z57" s="46"/>
      <c r="AA57" s="46"/>
      <c r="AB57" s="46"/>
      <c r="AC57" s="46">
        <v>1.5</v>
      </c>
      <c r="AD57" s="46"/>
      <c r="AE57" s="46"/>
      <c r="AF57" s="46"/>
      <c r="AG57" s="46">
        <f t="shared" si="10"/>
        <v>11.5</v>
      </c>
      <c r="AH57" s="61">
        <v>25</v>
      </c>
      <c r="AI57" s="54">
        <f t="shared" si="11"/>
        <v>287.5</v>
      </c>
      <c r="AL57" s="52" t="s">
        <v>129</v>
      </c>
      <c r="AM57" s="55">
        <f t="shared" si="14"/>
        <v>287.5</v>
      </c>
      <c r="AO57" s="52"/>
      <c r="AP57" s="55"/>
      <c r="AR57" s="52"/>
      <c r="AS57" s="55"/>
      <c r="AV57" s="35">
        <f>AM57-AI57</f>
        <v>0</v>
      </c>
    </row>
    <row r="58" s="35" customFormat="1" ht="44" customHeight="1" spans="1:50">
      <c r="A58" s="56" t="s">
        <v>440</v>
      </c>
      <c r="B58" s="46"/>
      <c r="C58" s="46"/>
      <c r="D58" s="46"/>
      <c r="E58" s="46"/>
      <c r="F58" s="46">
        <v>8.5</v>
      </c>
      <c r="G58" s="46"/>
      <c r="H58" s="46"/>
      <c r="I58" s="46"/>
      <c r="J58" s="52"/>
      <c r="K58" s="46">
        <v>6</v>
      </c>
      <c r="L58" s="46"/>
      <c r="M58" s="52"/>
      <c r="N58" s="46"/>
      <c r="O58" s="46"/>
      <c r="P58" s="46"/>
      <c r="Q58" s="46"/>
      <c r="R58" s="46"/>
      <c r="S58" s="46"/>
      <c r="T58" s="65"/>
      <c r="U58" s="46"/>
      <c r="V58" s="52"/>
      <c r="W58" s="46"/>
      <c r="X58" s="46"/>
      <c r="Y58" s="46"/>
      <c r="Z58" s="46"/>
      <c r="AA58" s="46"/>
      <c r="AB58" s="46"/>
      <c r="AC58" s="46"/>
      <c r="AD58" s="46"/>
      <c r="AE58" s="46"/>
      <c r="AF58" s="46">
        <v>7.5</v>
      </c>
      <c r="AG58" s="46">
        <f t="shared" si="10"/>
        <v>22</v>
      </c>
      <c r="AH58" s="61">
        <v>40</v>
      </c>
      <c r="AI58" s="54">
        <f t="shared" si="11"/>
        <v>880</v>
      </c>
      <c r="AL58" s="56"/>
      <c r="AM58" s="55"/>
      <c r="AO58" s="56" t="s">
        <v>129</v>
      </c>
      <c r="AP58" s="55">
        <f>AI58</f>
        <v>880</v>
      </c>
      <c r="AR58" s="52"/>
      <c r="AS58" s="55"/>
      <c r="AX58" s="35">
        <f>AP58-AI58</f>
        <v>0</v>
      </c>
    </row>
    <row r="59" s="35" customFormat="1" ht="44" customHeight="1" spans="1:50">
      <c r="A59" s="52" t="s">
        <v>127</v>
      </c>
      <c r="B59" s="46"/>
      <c r="C59" s="46"/>
      <c r="D59" s="46"/>
      <c r="E59" s="46"/>
      <c r="F59" s="46"/>
      <c r="G59" s="46"/>
      <c r="H59" s="46"/>
      <c r="I59" s="46"/>
      <c r="J59" s="52"/>
      <c r="K59" s="46"/>
      <c r="L59" s="46">
        <v>2</v>
      </c>
      <c r="M59" s="52"/>
      <c r="N59" s="46"/>
      <c r="O59" s="46"/>
      <c r="P59" s="46"/>
      <c r="Q59" s="46"/>
      <c r="R59" s="46"/>
      <c r="S59" s="46"/>
      <c r="T59" s="65"/>
      <c r="U59" s="46">
        <v>2</v>
      </c>
      <c r="V59" s="52"/>
      <c r="W59" s="46"/>
      <c r="X59" s="46"/>
      <c r="Y59" s="46"/>
      <c r="Z59" s="46"/>
      <c r="AA59" s="46">
        <v>2</v>
      </c>
      <c r="AB59" s="46">
        <v>2</v>
      </c>
      <c r="AC59" s="46"/>
      <c r="AD59" s="46"/>
      <c r="AE59" s="46"/>
      <c r="AF59" s="46"/>
      <c r="AG59" s="46">
        <f t="shared" si="10"/>
        <v>8</v>
      </c>
      <c r="AH59" s="61">
        <v>25</v>
      </c>
      <c r="AI59" s="54">
        <f t="shared" si="11"/>
        <v>200</v>
      </c>
      <c r="AL59" s="58" t="s">
        <v>127</v>
      </c>
      <c r="AM59" s="55">
        <f>AI59</f>
        <v>200</v>
      </c>
      <c r="AO59" s="55"/>
      <c r="AP59" s="55"/>
      <c r="AR59" s="52"/>
      <c r="AS59" s="55"/>
      <c r="AV59" s="35">
        <f>AM59-AI59</f>
        <v>0</v>
      </c>
    </row>
    <row r="60" s="35" customFormat="1" ht="44" customHeight="1" spans="1:50">
      <c r="A60" s="56" t="s">
        <v>441</v>
      </c>
      <c r="B60" s="46"/>
      <c r="C60" s="46"/>
      <c r="D60" s="46"/>
      <c r="E60" s="46"/>
      <c r="F60" s="46"/>
      <c r="G60" s="46"/>
      <c r="H60" s="46"/>
      <c r="I60" s="46"/>
      <c r="J60" s="52"/>
      <c r="K60" s="46"/>
      <c r="L60" s="46"/>
      <c r="M60" s="52"/>
      <c r="N60" s="46"/>
      <c r="O60" s="46"/>
      <c r="P60" s="46"/>
      <c r="Q60" s="46"/>
      <c r="R60" s="46"/>
      <c r="S60" s="46"/>
      <c r="T60" s="65"/>
      <c r="U60" s="46"/>
      <c r="V60" s="52"/>
      <c r="W60" s="46"/>
      <c r="X60" s="46"/>
      <c r="Y60" s="46"/>
      <c r="Z60" s="46"/>
      <c r="AA60" s="46"/>
      <c r="AB60" s="46"/>
      <c r="AC60" s="46"/>
      <c r="AD60" s="46"/>
      <c r="AE60" s="46">
        <v>8.5</v>
      </c>
      <c r="AF60" s="46"/>
      <c r="AG60" s="46">
        <f t="shared" si="10"/>
        <v>8.5</v>
      </c>
      <c r="AH60" s="61">
        <v>40</v>
      </c>
      <c r="AI60" s="54">
        <f t="shared" si="11"/>
        <v>340</v>
      </c>
      <c r="AL60" s="56"/>
      <c r="AM60" s="55"/>
      <c r="AO60" s="56" t="s">
        <v>127</v>
      </c>
      <c r="AP60" s="55">
        <f>AI60</f>
        <v>340</v>
      </c>
      <c r="AR60" s="52"/>
      <c r="AS60" s="55"/>
      <c r="AX60" s="35">
        <f>AP60-AI60</f>
        <v>0</v>
      </c>
    </row>
    <row r="61" s="35" customFormat="1" ht="44" customHeight="1" spans="1:50">
      <c r="A61" s="52" t="s">
        <v>145</v>
      </c>
      <c r="B61" s="46"/>
      <c r="C61" s="46"/>
      <c r="D61" s="46"/>
      <c r="E61" s="46"/>
      <c r="F61" s="46"/>
      <c r="G61" s="46"/>
      <c r="H61" s="46"/>
      <c r="I61" s="46"/>
      <c r="J61" s="52"/>
      <c r="K61" s="46"/>
      <c r="L61" s="46"/>
      <c r="M61" s="52"/>
      <c r="N61" s="46"/>
      <c r="O61" s="46"/>
      <c r="P61" s="46"/>
      <c r="Q61" s="46"/>
      <c r="R61" s="46"/>
      <c r="S61" s="46">
        <v>1</v>
      </c>
      <c r="T61" s="65">
        <v>1</v>
      </c>
      <c r="U61" s="46">
        <v>1.5</v>
      </c>
      <c r="V61" s="52">
        <v>1</v>
      </c>
      <c r="W61" s="46">
        <v>1</v>
      </c>
      <c r="X61" s="46"/>
      <c r="Y61" s="46"/>
      <c r="Z61" s="46"/>
      <c r="AA61" s="46">
        <v>1.5</v>
      </c>
      <c r="AB61" s="46">
        <v>1.5</v>
      </c>
      <c r="AC61" s="46"/>
      <c r="AD61" s="46">
        <v>1.5</v>
      </c>
      <c r="AE61" s="46"/>
      <c r="AF61" s="46"/>
      <c r="AG61" s="46">
        <f t="shared" ref="AG61:AG76" si="15">SUM(B61:AF61)</f>
        <v>10</v>
      </c>
      <c r="AH61" s="61">
        <v>25</v>
      </c>
      <c r="AI61" s="54">
        <f t="shared" ref="AI61:AI76" si="16">AG61*AH61</f>
        <v>250</v>
      </c>
      <c r="AL61" s="58" t="s">
        <v>145</v>
      </c>
      <c r="AM61" s="55">
        <f>AI61</f>
        <v>250</v>
      </c>
      <c r="AO61" s="55"/>
      <c r="AP61" s="55"/>
      <c r="AR61" s="52"/>
      <c r="AS61" s="55"/>
      <c r="AV61" s="35">
        <f>AM61-AI61</f>
        <v>0</v>
      </c>
    </row>
    <row r="62" s="35" customFormat="1" ht="44" customHeight="1" spans="1:50">
      <c r="A62" s="56" t="s">
        <v>442</v>
      </c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>
        <v>6</v>
      </c>
      <c r="R62" s="46"/>
      <c r="S62" s="46"/>
      <c r="T62" s="46"/>
      <c r="U62" s="46"/>
      <c r="V62" s="46"/>
      <c r="W62" s="46"/>
      <c r="X62" s="46">
        <v>10.5</v>
      </c>
      <c r="Y62" s="46"/>
      <c r="Z62" s="46"/>
      <c r="AA62" s="46"/>
      <c r="AB62" s="46"/>
      <c r="AC62" s="46"/>
      <c r="AD62" s="46"/>
      <c r="AE62" s="46"/>
      <c r="AF62" s="46"/>
      <c r="AG62" s="46">
        <f t="shared" si="15"/>
        <v>16.5</v>
      </c>
      <c r="AH62" s="61">
        <v>40</v>
      </c>
      <c r="AI62" s="54">
        <f t="shared" si="16"/>
        <v>660</v>
      </c>
      <c r="AL62" s="56"/>
      <c r="AM62" s="55"/>
      <c r="AO62" s="56" t="s">
        <v>145</v>
      </c>
      <c r="AP62" s="55">
        <f t="shared" ref="AP62:AP66" si="17">AI62</f>
        <v>660</v>
      </c>
      <c r="AR62" s="52"/>
      <c r="AS62" s="55"/>
      <c r="AX62" s="35">
        <f>AP62-AI62</f>
        <v>0</v>
      </c>
    </row>
    <row r="63" s="35" customFormat="1" ht="44" customHeight="1" spans="1:50">
      <c r="A63" s="52" t="s">
        <v>143</v>
      </c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>
        <v>2</v>
      </c>
      <c r="N63" s="46">
        <v>1</v>
      </c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>
        <v>1</v>
      </c>
      <c r="AB63" s="46"/>
      <c r="AC63" s="46"/>
      <c r="AD63" s="46"/>
      <c r="AE63" s="46"/>
      <c r="AF63" s="46"/>
      <c r="AG63" s="46">
        <f t="shared" si="15"/>
        <v>4</v>
      </c>
      <c r="AH63" s="61">
        <v>25</v>
      </c>
      <c r="AI63" s="54">
        <f t="shared" si="16"/>
        <v>100</v>
      </c>
      <c r="AL63" s="52" t="s">
        <v>143</v>
      </c>
      <c r="AM63" s="55">
        <f>AI63</f>
        <v>100</v>
      </c>
      <c r="AO63" s="52"/>
      <c r="AP63" s="55"/>
      <c r="AR63" s="52"/>
      <c r="AS63" s="55"/>
      <c r="AV63" s="35">
        <f>AM63-AI63</f>
        <v>0</v>
      </c>
    </row>
    <row r="64" s="35" customFormat="1" ht="44" customHeight="1" spans="1:50">
      <c r="A64" s="56" t="s">
        <v>443</v>
      </c>
      <c r="B64" s="46"/>
      <c r="C64" s="46"/>
      <c r="D64" s="46"/>
      <c r="E64" s="46"/>
      <c r="F64" s="46"/>
      <c r="G64" s="46"/>
      <c r="H64" s="46"/>
      <c r="I64" s="46"/>
      <c r="J64" s="46"/>
      <c r="K64" s="46">
        <v>6.5</v>
      </c>
      <c r="L64" s="46"/>
      <c r="M64" s="46"/>
      <c r="N64" s="46"/>
      <c r="O64" s="46"/>
      <c r="P64" s="46"/>
      <c r="Q64" s="46"/>
      <c r="R64" s="46">
        <v>9.5</v>
      </c>
      <c r="S64" s="46"/>
      <c r="T64" s="46"/>
      <c r="U64" s="46"/>
      <c r="V64" s="46"/>
      <c r="W64" s="46"/>
      <c r="X64" s="46"/>
      <c r="Y64" s="46">
        <v>9</v>
      </c>
      <c r="Z64" s="46"/>
      <c r="AA64" s="46"/>
      <c r="AB64" s="46"/>
      <c r="AC64" s="46"/>
      <c r="AD64" s="46"/>
      <c r="AE64" s="46">
        <v>5.5</v>
      </c>
      <c r="AF64" s="46"/>
      <c r="AG64" s="46">
        <f t="shared" si="15"/>
        <v>30.5</v>
      </c>
      <c r="AH64" s="61">
        <v>40</v>
      </c>
      <c r="AI64" s="54">
        <f t="shared" si="16"/>
        <v>1220</v>
      </c>
      <c r="AL64" s="56"/>
      <c r="AM64" s="55"/>
      <c r="AO64" s="56" t="s">
        <v>143</v>
      </c>
      <c r="AP64" s="55">
        <f t="shared" si="17"/>
        <v>1220</v>
      </c>
      <c r="AR64" s="52"/>
      <c r="AS64" s="55"/>
      <c r="AX64" s="35">
        <f>AP64-AI64</f>
        <v>0</v>
      </c>
    </row>
    <row r="65" s="35" customFormat="1" ht="44" customHeight="1" spans="1:58">
      <c r="A65" s="52" t="s">
        <v>144</v>
      </c>
      <c r="B65" s="46"/>
      <c r="C65" s="46"/>
      <c r="D65" s="46"/>
      <c r="E65" s="46"/>
      <c r="F65" s="46"/>
      <c r="G65" s="46"/>
      <c r="H65" s="46"/>
      <c r="I65" s="46"/>
      <c r="J65" s="52">
        <v>1</v>
      </c>
      <c r="K65" s="46"/>
      <c r="L65" s="46"/>
      <c r="M65" s="52"/>
      <c r="N65" s="46"/>
      <c r="O65" s="46"/>
      <c r="P65" s="46"/>
      <c r="Q65" s="46"/>
      <c r="R65" s="46"/>
      <c r="S65" s="46"/>
      <c r="T65" s="65">
        <v>1</v>
      </c>
      <c r="U65" s="46"/>
      <c r="V65" s="52">
        <v>1</v>
      </c>
      <c r="W65" s="46">
        <v>1</v>
      </c>
      <c r="X65" s="46"/>
      <c r="Y65" s="46"/>
      <c r="Z65" s="46">
        <v>1</v>
      </c>
      <c r="AA65" s="46"/>
      <c r="AB65" s="46">
        <v>1</v>
      </c>
      <c r="AC65" s="46">
        <v>1</v>
      </c>
      <c r="AD65" s="46">
        <v>1</v>
      </c>
      <c r="AE65" s="46"/>
      <c r="AF65" s="46"/>
      <c r="AG65" s="46">
        <f t="shared" si="15"/>
        <v>8</v>
      </c>
      <c r="AH65" s="61">
        <v>25</v>
      </c>
      <c r="AI65" s="54">
        <f t="shared" si="16"/>
        <v>200</v>
      </c>
      <c r="AL65" s="52" t="s">
        <v>144</v>
      </c>
      <c r="AM65" s="55">
        <f>AI65</f>
        <v>200</v>
      </c>
      <c r="AO65" s="52"/>
      <c r="AP65" s="55"/>
      <c r="AR65" s="52"/>
      <c r="AS65" s="55"/>
      <c r="AV65" s="35">
        <f>AM65-AI65</f>
        <v>0</v>
      </c>
    </row>
    <row r="66" s="35" customFormat="1" ht="44" customHeight="1" spans="1:58">
      <c r="A66" s="56" t="s">
        <v>444</v>
      </c>
      <c r="B66" s="46"/>
      <c r="C66" s="46"/>
      <c r="D66" s="46"/>
      <c r="E66" s="46"/>
      <c r="F66" s="46"/>
      <c r="G66" s="46"/>
      <c r="H66" s="46"/>
      <c r="I66" s="46"/>
      <c r="J66" s="52"/>
      <c r="K66" s="46">
        <v>4.5</v>
      </c>
      <c r="L66" s="46"/>
      <c r="M66" s="52"/>
      <c r="N66" s="46"/>
      <c r="O66" s="46"/>
      <c r="P66" s="46"/>
      <c r="Q66" s="46">
        <v>4</v>
      </c>
      <c r="R66" s="46"/>
      <c r="S66" s="46"/>
      <c r="T66" s="65"/>
      <c r="U66" s="46"/>
      <c r="V66" s="52"/>
      <c r="W66" s="46"/>
      <c r="X66" s="46"/>
      <c r="Y66" s="46"/>
      <c r="Z66" s="46"/>
      <c r="AA66" s="46"/>
      <c r="AB66" s="46"/>
      <c r="AC66" s="46"/>
      <c r="AD66" s="46"/>
      <c r="AE66" s="46">
        <v>1</v>
      </c>
      <c r="AF66" s="46"/>
      <c r="AG66" s="46">
        <f t="shared" si="15"/>
        <v>9.5</v>
      </c>
      <c r="AH66" s="61">
        <v>40</v>
      </c>
      <c r="AI66" s="54">
        <f t="shared" si="16"/>
        <v>380</v>
      </c>
      <c r="AL66" s="56"/>
      <c r="AM66" s="55"/>
      <c r="AO66" s="56" t="s">
        <v>144</v>
      </c>
      <c r="AP66" s="55">
        <f>AI66</f>
        <v>380</v>
      </c>
      <c r="AR66" s="52"/>
      <c r="AS66" s="55"/>
      <c r="AX66" s="35">
        <f>AP66-AI66</f>
        <v>0</v>
      </c>
    </row>
    <row r="67" s="35" customFormat="1" ht="44" customHeight="1" spans="1:58">
      <c r="A67" s="52" t="s">
        <v>345</v>
      </c>
      <c r="B67" s="46"/>
      <c r="C67" s="46"/>
      <c r="D67" s="46"/>
      <c r="E67" s="46"/>
      <c r="F67" s="46"/>
      <c r="G67" s="46">
        <v>1</v>
      </c>
      <c r="H67" s="46"/>
      <c r="I67" s="46">
        <v>1</v>
      </c>
      <c r="J67" s="52">
        <v>1</v>
      </c>
      <c r="K67" s="46"/>
      <c r="L67" s="46"/>
      <c r="M67" s="52"/>
      <c r="N67" s="46">
        <v>1</v>
      </c>
      <c r="O67" s="46"/>
      <c r="P67" s="46"/>
      <c r="Q67" s="46"/>
      <c r="R67" s="46"/>
      <c r="S67" s="46">
        <v>2</v>
      </c>
      <c r="T67" s="65"/>
      <c r="U67" s="46">
        <v>1.5</v>
      </c>
      <c r="V67" s="52">
        <v>1.5</v>
      </c>
      <c r="W67" s="46">
        <v>1.5</v>
      </c>
      <c r="X67" s="46"/>
      <c r="Y67" s="46"/>
      <c r="Z67" s="46">
        <v>1.5</v>
      </c>
      <c r="AA67" s="46">
        <v>2</v>
      </c>
      <c r="AB67" s="46">
        <v>2</v>
      </c>
      <c r="AC67" s="46">
        <v>2</v>
      </c>
      <c r="AD67" s="46">
        <v>2</v>
      </c>
      <c r="AE67" s="46"/>
      <c r="AF67" s="46"/>
      <c r="AG67" s="46">
        <f t="shared" si="15"/>
        <v>20</v>
      </c>
      <c r="AH67" s="61">
        <v>25</v>
      </c>
      <c r="AI67" s="54">
        <f t="shared" si="16"/>
        <v>500</v>
      </c>
      <c r="AL67" s="52" t="s">
        <v>345</v>
      </c>
      <c r="AM67" s="55">
        <f>AI67</f>
        <v>500</v>
      </c>
      <c r="AO67" s="52"/>
      <c r="AP67" s="55"/>
      <c r="AR67" s="52"/>
      <c r="AS67" s="55"/>
      <c r="AV67" s="35">
        <f>AM67-AI67</f>
        <v>0</v>
      </c>
    </row>
    <row r="68" s="35" customFormat="1" ht="44" customHeight="1" spans="1:58">
      <c r="A68" s="56" t="s">
        <v>445</v>
      </c>
      <c r="B68" s="46"/>
      <c r="C68" s="46"/>
      <c r="D68" s="46"/>
      <c r="E68" s="46"/>
      <c r="F68" s="46"/>
      <c r="G68" s="46"/>
      <c r="H68" s="46"/>
      <c r="I68" s="46"/>
      <c r="J68" s="52"/>
      <c r="K68" s="46"/>
      <c r="L68" s="46"/>
      <c r="M68" s="52"/>
      <c r="N68" s="46"/>
      <c r="O68" s="46"/>
      <c r="P68" s="46"/>
      <c r="Q68" s="46"/>
      <c r="R68" s="46"/>
      <c r="S68" s="46"/>
      <c r="T68" s="65"/>
      <c r="U68" s="46"/>
      <c r="V68" s="52"/>
      <c r="W68" s="46"/>
      <c r="X68" s="46"/>
      <c r="Y68" s="46"/>
      <c r="Z68" s="46"/>
      <c r="AA68" s="46"/>
      <c r="AB68" s="46"/>
      <c r="AC68" s="46"/>
      <c r="AD68" s="46"/>
      <c r="AE68" s="46">
        <v>8</v>
      </c>
      <c r="AF68" s="46"/>
      <c r="AG68" s="46">
        <f t="shared" si="15"/>
        <v>8</v>
      </c>
      <c r="AH68" s="61">
        <v>40</v>
      </c>
      <c r="AI68" s="54">
        <f t="shared" si="16"/>
        <v>320</v>
      </c>
      <c r="AL68" s="56"/>
      <c r="AM68" s="55"/>
      <c r="AO68" s="56" t="s">
        <v>345</v>
      </c>
      <c r="AP68" s="55">
        <f>AI68</f>
        <v>320</v>
      </c>
      <c r="AR68" s="52"/>
      <c r="AS68" s="55"/>
      <c r="AX68" s="35">
        <f>AP68-AI68</f>
        <v>0</v>
      </c>
    </row>
    <row r="69" s="35" customFormat="1" ht="44" customHeight="1" spans="1:58">
      <c r="A69" s="52" t="s">
        <v>197</v>
      </c>
      <c r="B69" s="46"/>
      <c r="C69" s="46"/>
      <c r="D69" s="46"/>
      <c r="E69" s="46"/>
      <c r="F69" s="46"/>
      <c r="G69" s="46"/>
      <c r="H69" s="46">
        <v>3</v>
      </c>
      <c r="I69" s="46"/>
      <c r="J69" s="52"/>
      <c r="K69" s="46"/>
      <c r="L69" s="46"/>
      <c r="M69" s="52"/>
      <c r="N69" s="46"/>
      <c r="O69" s="46"/>
      <c r="P69" s="46"/>
      <c r="Q69" s="46"/>
      <c r="R69" s="46"/>
      <c r="S69" s="46"/>
      <c r="T69" s="65"/>
      <c r="U69" s="46"/>
      <c r="V69" s="52"/>
      <c r="W69" s="46">
        <v>1.5</v>
      </c>
      <c r="X69" s="46"/>
      <c r="Y69" s="46"/>
      <c r="Z69" s="46"/>
      <c r="AA69" s="46"/>
      <c r="AB69" s="46"/>
      <c r="AC69" s="46"/>
      <c r="AD69" s="46"/>
      <c r="AE69" s="46"/>
      <c r="AF69" s="46"/>
      <c r="AG69" s="46">
        <f t="shared" si="15"/>
        <v>4.5</v>
      </c>
      <c r="AH69" s="61">
        <v>25</v>
      </c>
      <c r="AI69" s="54">
        <f t="shared" si="16"/>
        <v>112.5</v>
      </c>
      <c r="AL69" s="52" t="s">
        <v>197</v>
      </c>
      <c r="AM69" s="55">
        <f>AI69</f>
        <v>112.5</v>
      </c>
      <c r="AO69" s="52"/>
      <c r="AP69" s="55"/>
      <c r="AR69" s="52"/>
      <c r="AS69" s="55"/>
      <c r="AV69" s="35">
        <f>AM69-AI69</f>
        <v>0</v>
      </c>
    </row>
    <row r="70" s="35" customFormat="1" ht="44" customHeight="1" spans="1:58">
      <c r="A70" s="56" t="s">
        <v>446</v>
      </c>
      <c r="B70" s="46"/>
      <c r="C70" s="46"/>
      <c r="D70" s="46"/>
      <c r="E70" s="46"/>
      <c r="F70" s="46"/>
      <c r="G70" s="46"/>
      <c r="H70" s="46"/>
      <c r="I70" s="46"/>
      <c r="J70" s="52"/>
      <c r="K70" s="46"/>
      <c r="L70" s="46"/>
      <c r="M70" s="52"/>
      <c r="N70" s="46"/>
      <c r="O70" s="46"/>
      <c r="P70" s="46"/>
      <c r="Q70" s="46"/>
      <c r="R70" s="46"/>
      <c r="S70" s="46"/>
      <c r="T70" s="65"/>
      <c r="U70" s="46"/>
      <c r="V70" s="52"/>
      <c r="W70" s="46"/>
      <c r="X70" s="46"/>
      <c r="Y70" s="46"/>
      <c r="Z70" s="46"/>
      <c r="AA70" s="46"/>
      <c r="AB70" s="46"/>
      <c r="AC70" s="46"/>
      <c r="AD70" s="46"/>
      <c r="AE70" s="46">
        <v>10.5</v>
      </c>
      <c r="AF70" s="46"/>
      <c r="AG70" s="46">
        <f t="shared" si="15"/>
        <v>10.5</v>
      </c>
      <c r="AH70" s="61">
        <v>40</v>
      </c>
      <c r="AI70" s="54">
        <f t="shared" si="16"/>
        <v>420</v>
      </c>
      <c r="AL70" s="56"/>
      <c r="AM70" s="55"/>
      <c r="AO70" s="56" t="s">
        <v>197</v>
      </c>
      <c r="AP70" s="55">
        <f>AI70</f>
        <v>420</v>
      </c>
      <c r="AR70" s="52"/>
      <c r="AS70" s="55"/>
      <c r="AX70" s="35">
        <f>AP70-AI70</f>
        <v>0</v>
      </c>
    </row>
    <row r="71" s="35" customFormat="1" ht="44" customHeight="1" spans="1:58">
      <c r="A71" s="52" t="s">
        <v>130</v>
      </c>
      <c r="B71" s="46"/>
      <c r="C71" s="46"/>
      <c r="D71" s="46"/>
      <c r="E71" s="46"/>
      <c r="F71" s="46"/>
      <c r="G71" s="46"/>
      <c r="H71" s="46"/>
      <c r="I71" s="46"/>
      <c r="J71" s="52"/>
      <c r="K71" s="46"/>
      <c r="L71" s="46">
        <v>1</v>
      </c>
      <c r="M71" s="52"/>
      <c r="N71" s="46"/>
      <c r="O71" s="46"/>
      <c r="P71" s="46"/>
      <c r="Q71" s="46"/>
      <c r="R71" s="46"/>
      <c r="S71" s="46"/>
      <c r="T71" s="65"/>
      <c r="U71" s="46"/>
      <c r="V71" s="52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>
        <f t="shared" si="15"/>
        <v>1</v>
      </c>
      <c r="AH71" s="61">
        <v>25</v>
      </c>
      <c r="AI71" s="54">
        <f t="shared" si="16"/>
        <v>25</v>
      </c>
      <c r="AL71" s="52" t="s">
        <v>130</v>
      </c>
      <c r="AM71" s="55">
        <f>AI71</f>
        <v>25</v>
      </c>
      <c r="AO71" s="52"/>
      <c r="AP71" s="55"/>
      <c r="AR71" s="52"/>
      <c r="AS71" s="55"/>
      <c r="AV71" s="35">
        <f>AM71-AI71</f>
        <v>0</v>
      </c>
    </row>
    <row r="72" s="35" customFormat="1" ht="44" customHeight="1" spans="1:58">
      <c r="A72" s="56" t="s">
        <v>447</v>
      </c>
      <c r="B72" s="46"/>
      <c r="C72" s="46"/>
      <c r="D72" s="46"/>
      <c r="E72" s="46"/>
      <c r="F72" s="46"/>
      <c r="G72" s="46"/>
      <c r="H72" s="46"/>
      <c r="I72" s="46"/>
      <c r="J72" s="52"/>
      <c r="K72" s="46">
        <v>4</v>
      </c>
      <c r="L72" s="46"/>
      <c r="M72" s="52"/>
      <c r="N72" s="46"/>
      <c r="O72" s="46"/>
      <c r="P72" s="46"/>
      <c r="Q72" s="46"/>
      <c r="R72" s="46"/>
      <c r="S72" s="46"/>
      <c r="T72" s="66"/>
      <c r="U72" s="46"/>
      <c r="V72" s="52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>
        <f t="shared" si="15"/>
        <v>4</v>
      </c>
      <c r="AH72" s="61">
        <v>40</v>
      </c>
      <c r="AI72" s="54">
        <f t="shared" si="16"/>
        <v>160</v>
      </c>
      <c r="AL72" s="56"/>
      <c r="AM72" s="55"/>
      <c r="AO72" s="56" t="s">
        <v>130</v>
      </c>
      <c r="AP72" s="55">
        <f>AI72</f>
        <v>160</v>
      </c>
      <c r="AR72" s="52"/>
      <c r="AS72" s="55"/>
      <c r="AX72" s="35">
        <f>AP72-AI72</f>
        <v>0</v>
      </c>
      <c r="BF72" s="57"/>
    </row>
    <row r="73" s="35" customFormat="1" ht="44" customHeight="1" spans="1:58">
      <c r="A73" s="52" t="s">
        <v>167</v>
      </c>
      <c r="B73" s="46"/>
      <c r="C73" s="46"/>
      <c r="D73" s="46"/>
      <c r="E73" s="46"/>
      <c r="F73" s="46"/>
      <c r="G73" s="46">
        <v>3</v>
      </c>
      <c r="H73" s="46">
        <v>3</v>
      </c>
      <c r="I73" s="46">
        <v>2.5</v>
      </c>
      <c r="J73" s="46">
        <v>3</v>
      </c>
      <c r="K73" s="46"/>
      <c r="L73" s="46">
        <v>3</v>
      </c>
      <c r="M73" s="46">
        <v>2.5</v>
      </c>
      <c r="N73" s="46">
        <v>2.5</v>
      </c>
      <c r="O73" s="46">
        <v>2.5</v>
      </c>
      <c r="P73" s="46">
        <v>3</v>
      </c>
      <c r="Q73" s="46"/>
      <c r="R73" s="46"/>
      <c r="S73" s="46">
        <v>2.5</v>
      </c>
      <c r="T73" s="46">
        <v>3</v>
      </c>
      <c r="U73" s="46">
        <v>2.5</v>
      </c>
      <c r="V73" s="52">
        <v>2.5</v>
      </c>
      <c r="W73" s="46">
        <v>2</v>
      </c>
      <c r="X73" s="46"/>
      <c r="Y73" s="46"/>
      <c r="Z73" s="46">
        <v>2.5</v>
      </c>
      <c r="AA73" s="46">
        <v>2.5</v>
      </c>
      <c r="AB73" s="46">
        <v>2.5</v>
      </c>
      <c r="AC73" s="46">
        <v>3</v>
      </c>
      <c r="AD73" s="46">
        <v>2</v>
      </c>
      <c r="AE73" s="46"/>
      <c r="AF73" s="46"/>
      <c r="AG73" s="46">
        <f t="shared" si="15"/>
        <v>50</v>
      </c>
      <c r="AH73" s="61">
        <v>25</v>
      </c>
      <c r="AI73" s="54">
        <f t="shared" si="16"/>
        <v>1250</v>
      </c>
      <c r="AL73" s="52" t="s">
        <v>167</v>
      </c>
      <c r="AM73" s="55">
        <f>AI73</f>
        <v>1250</v>
      </c>
      <c r="AO73" s="52"/>
      <c r="AP73" s="55"/>
      <c r="AR73" s="52"/>
      <c r="AS73" s="55"/>
      <c r="AV73" s="35">
        <f>AM73-AI73</f>
        <v>0</v>
      </c>
      <c r="BF73" s="57"/>
    </row>
    <row r="74" s="35" customFormat="1" ht="44" customHeight="1" spans="1:58">
      <c r="A74" s="56" t="s">
        <v>448</v>
      </c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52"/>
      <c r="W74" s="46"/>
      <c r="X74" s="46"/>
      <c r="Y74" s="46"/>
      <c r="Z74" s="46"/>
      <c r="AA74" s="46"/>
      <c r="AB74" s="46"/>
      <c r="AC74" s="46"/>
      <c r="AD74" s="46"/>
      <c r="AE74" s="46">
        <v>8.5</v>
      </c>
      <c r="AF74" s="46"/>
      <c r="AG74" s="46">
        <f t="shared" si="15"/>
        <v>8.5</v>
      </c>
      <c r="AH74" s="61">
        <v>40</v>
      </c>
      <c r="AI74" s="54">
        <f t="shared" si="16"/>
        <v>340</v>
      </c>
      <c r="AL74" s="56"/>
      <c r="AM74" s="55"/>
      <c r="AO74" s="56" t="s">
        <v>167</v>
      </c>
      <c r="AP74" s="55">
        <f>AI74</f>
        <v>340</v>
      </c>
      <c r="AR74" s="52"/>
      <c r="AS74" s="55"/>
      <c r="AX74" s="35">
        <f>AP74-AI74</f>
        <v>0</v>
      </c>
      <c r="BF74" s="57"/>
    </row>
    <row r="75" s="35" customFormat="1" ht="44" customHeight="1" spans="1:58">
      <c r="A75" s="52" t="s">
        <v>171</v>
      </c>
      <c r="B75" s="46"/>
      <c r="C75" s="46"/>
      <c r="D75" s="46"/>
      <c r="E75" s="46"/>
      <c r="F75" s="46"/>
      <c r="G75" s="46">
        <v>1</v>
      </c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52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>
        <f t="shared" si="15"/>
        <v>1</v>
      </c>
      <c r="AH75" s="61">
        <v>25</v>
      </c>
      <c r="AI75" s="54">
        <f t="shared" si="16"/>
        <v>25</v>
      </c>
      <c r="AL75" s="52" t="s">
        <v>171</v>
      </c>
      <c r="AM75" s="55">
        <f>AI75</f>
        <v>25</v>
      </c>
      <c r="AO75" s="52"/>
      <c r="AP75" s="55"/>
      <c r="AR75" s="52"/>
      <c r="AS75" s="55"/>
      <c r="AV75" s="35">
        <f>AM75-AI75</f>
        <v>0</v>
      </c>
      <c r="BF75" s="57"/>
    </row>
    <row r="76" s="35" customFormat="1" ht="44" customHeight="1" spans="1:58">
      <c r="A76" s="52" t="s">
        <v>169</v>
      </c>
      <c r="B76" s="46"/>
      <c r="C76" s="46"/>
      <c r="D76" s="46"/>
      <c r="E76" s="46"/>
      <c r="F76" s="46"/>
      <c r="G76" s="46">
        <v>3</v>
      </c>
      <c r="H76" s="46">
        <v>2.5</v>
      </c>
      <c r="I76" s="46">
        <v>2.5</v>
      </c>
      <c r="J76" s="46">
        <v>1.5</v>
      </c>
      <c r="K76" s="46"/>
      <c r="L76" s="46"/>
      <c r="M76" s="46"/>
      <c r="N76" s="46">
        <v>3</v>
      </c>
      <c r="O76" s="46">
        <v>2.5</v>
      </c>
      <c r="P76" s="46">
        <v>3</v>
      </c>
      <c r="Q76" s="46"/>
      <c r="R76" s="46"/>
      <c r="S76" s="46">
        <v>2.5</v>
      </c>
      <c r="T76" s="46">
        <v>3</v>
      </c>
      <c r="U76" s="46">
        <v>2.5</v>
      </c>
      <c r="V76" s="52">
        <v>2.5</v>
      </c>
      <c r="W76" s="46">
        <v>2.5</v>
      </c>
      <c r="X76" s="46"/>
      <c r="Y76" s="46"/>
      <c r="Z76" s="46">
        <v>2.5</v>
      </c>
      <c r="AA76" s="46">
        <v>2.5</v>
      </c>
      <c r="AB76" s="46">
        <v>2.5</v>
      </c>
      <c r="AC76" s="46">
        <v>2.5</v>
      </c>
      <c r="AD76" s="46">
        <v>2</v>
      </c>
      <c r="AE76" s="46"/>
      <c r="AF76" s="46"/>
      <c r="AG76" s="46">
        <f t="shared" si="15"/>
        <v>43</v>
      </c>
      <c r="AH76" s="61">
        <v>25</v>
      </c>
      <c r="AI76" s="54">
        <f t="shared" si="16"/>
        <v>1075</v>
      </c>
      <c r="AL76" s="58" t="s">
        <v>169</v>
      </c>
      <c r="AM76" s="55">
        <f>AI76</f>
        <v>1075</v>
      </c>
      <c r="AO76" s="55"/>
      <c r="AP76" s="55"/>
      <c r="AR76" s="52"/>
      <c r="AS76" s="55"/>
      <c r="AV76" s="35">
        <f>AM76-AI76</f>
        <v>0</v>
      </c>
      <c r="BF76" s="57"/>
    </row>
    <row r="77" s="35" customFormat="1" ht="44" customHeight="1" spans="1:58">
      <c r="A77" s="52" t="s">
        <v>168</v>
      </c>
      <c r="B77" s="46"/>
      <c r="C77" s="46"/>
      <c r="D77" s="46"/>
      <c r="E77" s="46"/>
      <c r="F77" s="46"/>
      <c r="G77" s="46">
        <v>2.5</v>
      </c>
      <c r="H77" s="46">
        <v>3</v>
      </c>
      <c r="I77" s="46">
        <v>2.5</v>
      </c>
      <c r="J77" s="46">
        <v>3</v>
      </c>
      <c r="K77" s="46"/>
      <c r="L77" s="46">
        <v>3</v>
      </c>
      <c r="M77" s="46">
        <v>2.5</v>
      </c>
      <c r="N77" s="46">
        <v>2.5</v>
      </c>
      <c r="O77" s="46">
        <v>2.5</v>
      </c>
      <c r="P77" s="46">
        <v>3</v>
      </c>
      <c r="Q77" s="46"/>
      <c r="R77" s="46"/>
      <c r="S77" s="46">
        <v>2.5</v>
      </c>
      <c r="T77" s="46">
        <v>3</v>
      </c>
      <c r="U77" s="46">
        <v>3</v>
      </c>
      <c r="V77" s="52">
        <v>2.5</v>
      </c>
      <c r="W77" s="46">
        <v>2</v>
      </c>
      <c r="X77" s="46"/>
      <c r="Y77" s="46"/>
      <c r="Z77" s="46">
        <v>2.5</v>
      </c>
      <c r="AA77" s="46">
        <v>2.5</v>
      </c>
      <c r="AB77" s="46">
        <v>2.5</v>
      </c>
      <c r="AC77" s="46">
        <v>2.5</v>
      </c>
      <c r="AD77" s="46">
        <v>2</v>
      </c>
      <c r="AE77" s="46"/>
      <c r="AF77" s="46"/>
      <c r="AG77" s="46">
        <f t="shared" ref="AG77:AG83" si="18">SUM(B77:AF77)</f>
        <v>49.5</v>
      </c>
      <c r="AH77" s="61">
        <v>25</v>
      </c>
      <c r="AI77" s="54">
        <f t="shared" ref="AI77:AI86" si="19">AG77*AH77</f>
        <v>1237.5</v>
      </c>
      <c r="AL77" s="52" t="s">
        <v>168</v>
      </c>
      <c r="AM77" s="55">
        <f t="shared" ref="AM77:AM81" si="20">AI77</f>
        <v>1237.5</v>
      </c>
      <c r="AO77" s="52"/>
      <c r="AP77" s="55"/>
      <c r="AR77" s="52"/>
      <c r="AS77" s="55"/>
      <c r="AV77" s="35">
        <f t="shared" ref="AV77:AV81" si="21">AM77-AI77</f>
        <v>0</v>
      </c>
      <c r="BF77" s="57"/>
    </row>
    <row r="78" s="35" customFormat="1" ht="44" customHeight="1" spans="1:58">
      <c r="A78" s="56" t="s">
        <v>449</v>
      </c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52"/>
      <c r="W78" s="46"/>
      <c r="X78" s="46"/>
      <c r="Y78" s="46"/>
      <c r="Z78" s="46"/>
      <c r="AA78" s="46"/>
      <c r="AB78" s="46"/>
      <c r="AC78" s="46"/>
      <c r="AD78" s="46"/>
      <c r="AE78" s="46">
        <v>8.5</v>
      </c>
      <c r="AF78" s="46"/>
      <c r="AG78" s="46">
        <f t="shared" si="18"/>
        <v>8.5</v>
      </c>
      <c r="AH78" s="61">
        <v>40</v>
      </c>
      <c r="AI78" s="54">
        <f t="shared" si="19"/>
        <v>340</v>
      </c>
      <c r="AL78" s="56"/>
      <c r="AM78" s="55"/>
      <c r="AO78" s="56" t="s">
        <v>168</v>
      </c>
      <c r="AP78" s="55">
        <f>AI78</f>
        <v>340</v>
      </c>
      <c r="AR78" s="52"/>
      <c r="AS78" s="55"/>
      <c r="AX78" s="35">
        <f>AP78-AI78</f>
        <v>0</v>
      </c>
      <c r="BF78" s="57"/>
    </row>
    <row r="79" s="35" customFormat="1" ht="44" customHeight="1" spans="1:58">
      <c r="A79" s="52" t="s">
        <v>362</v>
      </c>
      <c r="B79" s="46"/>
      <c r="C79" s="46"/>
      <c r="D79" s="46"/>
      <c r="E79" s="46"/>
      <c r="F79" s="46"/>
      <c r="G79" s="46">
        <v>2.5</v>
      </c>
      <c r="H79" s="46">
        <v>1.5</v>
      </c>
      <c r="I79" s="46"/>
      <c r="J79" s="46">
        <v>2.5</v>
      </c>
      <c r="K79" s="46"/>
      <c r="L79" s="46">
        <v>2.5</v>
      </c>
      <c r="M79" s="46">
        <v>2</v>
      </c>
      <c r="N79" s="46"/>
      <c r="O79" s="46"/>
      <c r="P79" s="46"/>
      <c r="Q79" s="46"/>
      <c r="R79" s="46"/>
      <c r="S79" s="46"/>
      <c r="T79" s="46">
        <v>3</v>
      </c>
      <c r="U79" s="46">
        <v>2.5</v>
      </c>
      <c r="V79" s="52">
        <v>2.5</v>
      </c>
      <c r="W79" s="46">
        <v>2</v>
      </c>
      <c r="X79" s="46"/>
      <c r="Y79" s="46"/>
      <c r="Z79" s="46">
        <v>2</v>
      </c>
      <c r="AA79" s="46">
        <v>2.5</v>
      </c>
      <c r="AB79" s="46">
        <v>2.5</v>
      </c>
      <c r="AC79" s="46">
        <v>2.5</v>
      </c>
      <c r="AD79" s="46">
        <v>2.5</v>
      </c>
      <c r="AE79" s="46"/>
      <c r="AF79" s="46"/>
      <c r="AG79" s="46">
        <f t="shared" si="18"/>
        <v>33</v>
      </c>
      <c r="AH79" s="61">
        <v>25</v>
      </c>
      <c r="AI79" s="54">
        <f t="shared" si="19"/>
        <v>825</v>
      </c>
      <c r="AL79" s="58" t="s">
        <v>362</v>
      </c>
      <c r="AM79" s="55">
        <f t="shared" si="20"/>
        <v>825</v>
      </c>
      <c r="AO79" s="55"/>
      <c r="AP79" s="55"/>
      <c r="AR79" s="52"/>
      <c r="AS79" s="55"/>
      <c r="AV79" s="35">
        <f t="shared" si="21"/>
        <v>0</v>
      </c>
      <c r="BF79" s="57"/>
    </row>
    <row r="80" s="35" customFormat="1" ht="44" customHeight="1" spans="1:58">
      <c r="A80" s="56" t="s">
        <v>450</v>
      </c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52"/>
      <c r="W80" s="46"/>
      <c r="X80" s="46"/>
      <c r="Y80" s="46"/>
      <c r="Z80" s="46"/>
      <c r="AA80" s="46"/>
      <c r="AB80" s="46"/>
      <c r="AC80" s="46"/>
      <c r="AD80" s="46"/>
      <c r="AE80" s="46">
        <v>8</v>
      </c>
      <c r="AF80" s="46"/>
      <c r="AG80" s="46">
        <f t="shared" si="18"/>
        <v>8</v>
      </c>
      <c r="AH80" s="61">
        <v>40</v>
      </c>
      <c r="AI80" s="54">
        <f t="shared" si="19"/>
        <v>320</v>
      </c>
      <c r="AL80" s="56"/>
      <c r="AM80" s="55"/>
      <c r="AO80" s="56" t="s">
        <v>362</v>
      </c>
      <c r="AP80" s="55">
        <f>AI80</f>
        <v>320</v>
      </c>
      <c r="AR80" s="52"/>
      <c r="AS80" s="55"/>
      <c r="AX80" s="35">
        <f>AP80-AI80</f>
        <v>0</v>
      </c>
      <c r="BF80" s="57"/>
    </row>
    <row r="81" s="35" customFormat="1" ht="44" customHeight="1" spans="1:58">
      <c r="A81" s="52" t="s">
        <v>363</v>
      </c>
      <c r="B81" s="46"/>
      <c r="C81" s="46"/>
      <c r="D81" s="46"/>
      <c r="E81" s="46"/>
      <c r="F81" s="46"/>
      <c r="G81" s="46"/>
      <c r="H81" s="46"/>
      <c r="I81" s="46">
        <v>1</v>
      </c>
      <c r="J81" s="46">
        <v>3.5</v>
      </c>
      <c r="K81" s="46"/>
      <c r="L81" s="46">
        <v>3</v>
      </c>
      <c r="M81" s="46">
        <v>3</v>
      </c>
      <c r="N81" s="46">
        <v>2</v>
      </c>
      <c r="O81" s="46">
        <v>3</v>
      </c>
      <c r="P81" s="46">
        <v>3.5</v>
      </c>
      <c r="Q81" s="46"/>
      <c r="R81" s="46"/>
      <c r="S81" s="46">
        <v>4</v>
      </c>
      <c r="T81" s="46">
        <v>3.5</v>
      </c>
      <c r="U81" s="46">
        <v>3.5</v>
      </c>
      <c r="V81" s="52">
        <v>3</v>
      </c>
      <c r="W81" s="46"/>
      <c r="X81" s="46"/>
      <c r="Y81" s="46"/>
      <c r="Z81" s="46">
        <v>3</v>
      </c>
      <c r="AA81" s="46">
        <v>3</v>
      </c>
      <c r="AB81" s="46">
        <v>3</v>
      </c>
      <c r="AC81" s="46">
        <v>3</v>
      </c>
      <c r="AD81" s="46">
        <v>2</v>
      </c>
      <c r="AE81" s="46"/>
      <c r="AF81" s="46"/>
      <c r="AG81" s="46">
        <f t="shared" si="18"/>
        <v>47</v>
      </c>
      <c r="AH81" s="61">
        <v>25</v>
      </c>
      <c r="AI81" s="54">
        <f t="shared" si="19"/>
        <v>1175</v>
      </c>
      <c r="AL81" s="55" t="s">
        <v>363</v>
      </c>
      <c r="AM81" s="55">
        <f>AI81</f>
        <v>1175</v>
      </c>
      <c r="AO81" s="55"/>
      <c r="AP81" s="55"/>
      <c r="AR81" s="52"/>
      <c r="AS81" s="55"/>
      <c r="AV81" s="35">
        <f>AM81-AI81</f>
        <v>0</v>
      </c>
      <c r="BF81" s="57"/>
    </row>
    <row r="82" s="35" customFormat="1" ht="44" customHeight="1" spans="1:58">
      <c r="A82" s="56" t="s">
        <v>451</v>
      </c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52"/>
      <c r="W82" s="46"/>
      <c r="X82" s="46"/>
      <c r="Y82" s="46"/>
      <c r="Z82" s="46"/>
      <c r="AA82" s="46"/>
      <c r="AB82" s="46"/>
      <c r="AC82" s="46"/>
      <c r="AD82" s="46"/>
      <c r="AE82" s="46">
        <v>8.5</v>
      </c>
      <c r="AF82" s="46"/>
      <c r="AG82" s="46">
        <f t="shared" si="18"/>
        <v>8.5</v>
      </c>
      <c r="AH82" s="61">
        <v>40</v>
      </c>
      <c r="AI82" s="54">
        <f t="shared" si="19"/>
        <v>340</v>
      </c>
      <c r="AL82" s="56"/>
      <c r="AM82" s="55"/>
      <c r="AO82" s="56" t="s">
        <v>363</v>
      </c>
      <c r="AP82" s="55">
        <f>AI82</f>
        <v>340</v>
      </c>
      <c r="AR82" s="52"/>
      <c r="AS82" s="55"/>
      <c r="AX82" s="35">
        <f>AP82-AI82</f>
        <v>0</v>
      </c>
      <c r="BF82" s="57"/>
    </row>
    <row r="83" s="35" customFormat="1" ht="44" customHeight="1" spans="1:58">
      <c r="A83" s="52" t="s">
        <v>331</v>
      </c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>
        <v>2</v>
      </c>
      <c r="U83" s="46">
        <v>2.5</v>
      </c>
      <c r="V83" s="52">
        <v>2</v>
      </c>
      <c r="W83" s="46"/>
      <c r="X83" s="46"/>
      <c r="Y83" s="46"/>
      <c r="Z83" s="46"/>
      <c r="AA83" s="46">
        <v>2.5</v>
      </c>
      <c r="AB83" s="46">
        <v>1</v>
      </c>
      <c r="AC83" s="46">
        <v>1.5</v>
      </c>
      <c r="AD83" s="46"/>
      <c r="AE83" s="46"/>
      <c r="AF83" s="46"/>
      <c r="AG83" s="46">
        <f t="shared" si="18"/>
        <v>11.5</v>
      </c>
      <c r="AH83" s="61">
        <v>25</v>
      </c>
      <c r="AI83" s="54">
        <f t="shared" si="19"/>
        <v>287.5</v>
      </c>
      <c r="AL83" s="52" t="s">
        <v>331</v>
      </c>
      <c r="AM83" s="55">
        <f>AI83</f>
        <v>287.5</v>
      </c>
      <c r="AO83" s="55"/>
      <c r="AP83" s="55"/>
      <c r="AR83" s="52"/>
      <c r="AS83" s="55"/>
      <c r="AV83" s="35">
        <f>AM83-AI83</f>
        <v>0</v>
      </c>
      <c r="BF83" s="57"/>
    </row>
    <row r="84" s="35" customFormat="1" ht="44" customHeight="1" spans="1:58">
      <c r="A84" s="52" t="s">
        <v>330</v>
      </c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>
        <v>2</v>
      </c>
      <c r="T84" s="46">
        <v>1.5</v>
      </c>
      <c r="U84" s="46">
        <v>1.5</v>
      </c>
      <c r="V84" s="52">
        <v>1.5</v>
      </c>
      <c r="W84" s="46"/>
      <c r="X84" s="46"/>
      <c r="Y84" s="46"/>
      <c r="Z84" s="46"/>
      <c r="AA84" s="46">
        <v>1.5</v>
      </c>
      <c r="AB84" s="46">
        <v>1.5</v>
      </c>
      <c r="AC84" s="46">
        <v>1.5</v>
      </c>
      <c r="AD84" s="46"/>
      <c r="AE84" s="46"/>
      <c r="AF84" s="46"/>
      <c r="AG84" s="46">
        <f t="shared" ref="AG84:AG129" si="22">SUM(B84:AF84)</f>
        <v>11</v>
      </c>
      <c r="AH84" s="61">
        <v>25</v>
      </c>
      <c r="AI84" s="54">
        <f t="shared" si="19"/>
        <v>275</v>
      </c>
      <c r="AL84" s="52" t="s">
        <v>330</v>
      </c>
      <c r="AM84" s="55">
        <f>AI84</f>
        <v>275</v>
      </c>
      <c r="AO84" s="55"/>
      <c r="AP84" s="55"/>
      <c r="AR84" s="52"/>
      <c r="AS84" s="55"/>
      <c r="AV84" s="35">
        <f>AM84-AI84</f>
        <v>0</v>
      </c>
      <c r="BF84" s="57"/>
    </row>
    <row r="85" s="35" customFormat="1" ht="44" customHeight="1" spans="1:58">
      <c r="A85" s="52" t="s">
        <v>332</v>
      </c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>
        <v>2.5</v>
      </c>
      <c r="T85" s="46">
        <v>1.5</v>
      </c>
      <c r="U85" s="46">
        <v>1.5</v>
      </c>
      <c r="V85" s="52">
        <v>1.5</v>
      </c>
      <c r="W85" s="46"/>
      <c r="X85" s="46"/>
      <c r="Y85" s="46"/>
      <c r="Z85" s="46"/>
      <c r="AA85" s="46">
        <v>1.5</v>
      </c>
      <c r="AB85" s="46">
        <v>1.5</v>
      </c>
      <c r="AC85" s="46">
        <v>2</v>
      </c>
      <c r="AD85" s="46"/>
      <c r="AE85" s="46"/>
      <c r="AF85" s="46"/>
      <c r="AG85" s="46">
        <f t="shared" si="22"/>
        <v>12</v>
      </c>
      <c r="AH85" s="61">
        <v>25</v>
      </c>
      <c r="AI85" s="54">
        <f t="shared" si="19"/>
        <v>300</v>
      </c>
      <c r="AL85" s="52" t="s">
        <v>332</v>
      </c>
      <c r="AM85" s="55">
        <f>AI85</f>
        <v>300</v>
      </c>
      <c r="AO85" s="55"/>
      <c r="AP85" s="55"/>
      <c r="AR85" s="52"/>
      <c r="AS85" s="55"/>
      <c r="AV85" s="35">
        <f>AM85-AI85</f>
        <v>0</v>
      </c>
      <c r="BF85" s="57"/>
    </row>
    <row r="86" s="35" customFormat="1" ht="44" customHeight="1" spans="1:58">
      <c r="A86" s="67" t="s">
        <v>240</v>
      </c>
      <c r="B86" s="46"/>
      <c r="C86" s="46"/>
      <c r="D86" s="46"/>
      <c r="E86" s="46"/>
      <c r="F86" s="46"/>
      <c r="G86" s="46">
        <v>1</v>
      </c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>
        <v>2.5</v>
      </c>
      <c r="T86" s="46"/>
      <c r="U86" s="46"/>
      <c r="V86" s="46">
        <v>3</v>
      </c>
      <c r="W86" s="46"/>
      <c r="X86" s="46"/>
      <c r="Y86" s="68"/>
      <c r="Z86" s="46"/>
      <c r="AA86" s="46"/>
      <c r="AB86" s="46"/>
      <c r="AC86" s="46"/>
      <c r="AD86" s="46"/>
      <c r="AE86" s="46"/>
      <c r="AF86" s="46"/>
      <c r="AG86" s="46">
        <f t="shared" si="22"/>
        <v>6.5</v>
      </c>
      <c r="AH86" s="61">
        <v>25</v>
      </c>
      <c r="AI86" s="54">
        <f t="shared" si="19"/>
        <v>162.5</v>
      </c>
      <c r="AL86" s="67" t="s">
        <v>240</v>
      </c>
      <c r="AM86" s="55">
        <f>AI86</f>
        <v>162.5</v>
      </c>
      <c r="AO86" s="67"/>
      <c r="AP86" s="55"/>
      <c r="AR86" s="67"/>
      <c r="AS86" s="55"/>
      <c r="AV86" s="35">
        <f>AM86-AI86</f>
        <v>0</v>
      </c>
    </row>
    <row r="87" s="35" customFormat="1" ht="44" customHeight="1" spans="1:58">
      <c r="A87" s="69" t="s">
        <v>452</v>
      </c>
      <c r="B87" s="46"/>
      <c r="C87" s="46"/>
      <c r="D87" s="46"/>
      <c r="E87" s="46"/>
      <c r="F87" s="46"/>
      <c r="G87" s="46"/>
      <c r="H87" s="46"/>
      <c r="I87" s="46"/>
      <c r="J87" s="46"/>
      <c r="K87" s="46">
        <v>9</v>
      </c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>
        <v>10</v>
      </c>
      <c r="Y87" s="68"/>
      <c r="Z87" s="46"/>
      <c r="AA87" s="46"/>
      <c r="AB87" s="46"/>
      <c r="AC87" s="46"/>
      <c r="AD87" s="46"/>
      <c r="AE87" s="46"/>
      <c r="AF87" s="46"/>
      <c r="AG87" s="46">
        <f t="shared" si="22"/>
        <v>19</v>
      </c>
      <c r="AH87" s="61">
        <v>40</v>
      </c>
      <c r="AI87" s="54">
        <f t="shared" ref="AI87:AI128" si="23">AG87*AH87</f>
        <v>760</v>
      </c>
      <c r="AL87" s="64"/>
      <c r="AM87" s="55"/>
      <c r="AO87" s="64" t="s">
        <v>240</v>
      </c>
      <c r="AP87" s="55">
        <f>AI87</f>
        <v>760</v>
      </c>
      <c r="AR87" s="67"/>
      <c r="AS87" s="55"/>
      <c r="AX87" s="35">
        <f>AP87-AI87</f>
        <v>0</v>
      </c>
    </row>
    <row r="88" s="35" customFormat="1" ht="44" customHeight="1" spans="1:58">
      <c r="A88" s="67" t="s">
        <v>242</v>
      </c>
      <c r="B88" s="46"/>
      <c r="C88" s="46"/>
      <c r="D88" s="46"/>
      <c r="E88" s="46"/>
      <c r="F88" s="46"/>
      <c r="G88" s="46">
        <v>1.5</v>
      </c>
      <c r="H88" s="46">
        <v>4.5</v>
      </c>
      <c r="I88" s="46">
        <v>2</v>
      </c>
      <c r="J88" s="46">
        <v>2</v>
      </c>
      <c r="K88" s="46"/>
      <c r="L88" s="46">
        <v>3</v>
      </c>
      <c r="M88" s="46">
        <v>2</v>
      </c>
      <c r="N88" s="46">
        <v>2.5</v>
      </c>
      <c r="O88" s="46">
        <v>3.5</v>
      </c>
      <c r="P88" s="46">
        <v>1</v>
      </c>
      <c r="Q88" s="46"/>
      <c r="R88" s="46"/>
      <c r="S88" s="46">
        <v>3</v>
      </c>
      <c r="T88" s="46">
        <v>2</v>
      </c>
      <c r="U88" s="46"/>
      <c r="V88" s="46">
        <v>3.5</v>
      </c>
      <c r="W88" s="46">
        <v>4.5</v>
      </c>
      <c r="X88" s="46"/>
      <c r="Y88" s="46"/>
      <c r="Z88" s="46">
        <v>2</v>
      </c>
      <c r="AA88" s="46">
        <v>2</v>
      </c>
      <c r="AB88" s="46">
        <v>2</v>
      </c>
      <c r="AC88" s="46">
        <v>2</v>
      </c>
      <c r="AD88" s="46">
        <v>1.5</v>
      </c>
      <c r="AE88" s="46"/>
      <c r="AF88" s="46"/>
      <c r="AG88" s="46">
        <f t="shared" si="22"/>
        <v>44.5</v>
      </c>
      <c r="AH88" s="61">
        <v>25</v>
      </c>
      <c r="AI88" s="54">
        <f t="shared" si="23"/>
        <v>1112.5</v>
      </c>
      <c r="AL88" s="67" t="s">
        <v>242</v>
      </c>
      <c r="AM88" s="55">
        <f t="shared" ref="AM88:AM92" si="24">AI88</f>
        <v>1112.5</v>
      </c>
      <c r="AO88" s="67"/>
      <c r="AP88" s="55"/>
      <c r="AR88" s="67"/>
      <c r="AS88" s="55"/>
      <c r="AV88" s="35">
        <f t="shared" ref="AV88:AV92" si="25">AM88-AI88</f>
        <v>0</v>
      </c>
    </row>
    <row r="89" s="35" customFormat="1" ht="44" customHeight="1" spans="1:58">
      <c r="A89" s="64" t="s">
        <v>453</v>
      </c>
      <c r="B89" s="46"/>
      <c r="C89" s="46"/>
      <c r="D89" s="46"/>
      <c r="E89" s="46"/>
      <c r="F89" s="46"/>
      <c r="G89" s="46"/>
      <c r="H89" s="46"/>
      <c r="I89" s="46"/>
      <c r="J89" s="46"/>
      <c r="K89" s="46">
        <v>11.5</v>
      </c>
      <c r="L89" s="46"/>
      <c r="M89" s="46"/>
      <c r="N89" s="46"/>
      <c r="O89" s="46"/>
      <c r="P89" s="46"/>
      <c r="Q89" s="46">
        <v>7</v>
      </c>
      <c r="R89" s="46">
        <v>6.5</v>
      </c>
      <c r="S89" s="46"/>
      <c r="T89" s="46"/>
      <c r="U89" s="46"/>
      <c r="V89" s="46"/>
      <c r="W89" s="46"/>
      <c r="X89" s="46"/>
      <c r="Y89" s="46">
        <v>11</v>
      </c>
      <c r="Z89" s="46"/>
      <c r="AA89" s="46"/>
      <c r="AB89" s="46"/>
      <c r="AC89" s="46"/>
      <c r="AD89" s="46"/>
      <c r="AE89" s="46">
        <v>9.5</v>
      </c>
      <c r="AF89" s="46">
        <v>3.5</v>
      </c>
      <c r="AG89" s="46">
        <f t="shared" si="22"/>
        <v>49</v>
      </c>
      <c r="AH89" s="61">
        <v>40</v>
      </c>
      <c r="AI89" s="54">
        <f t="shared" si="23"/>
        <v>1960</v>
      </c>
      <c r="AL89" s="64"/>
      <c r="AM89" s="55"/>
      <c r="AO89" s="64" t="s">
        <v>242</v>
      </c>
      <c r="AP89" s="55">
        <f t="shared" ref="AP89:AP94" si="26">AI89</f>
        <v>1960</v>
      </c>
      <c r="AR89" s="46"/>
      <c r="AS89" s="55"/>
      <c r="AX89" s="35">
        <f t="shared" ref="AX89:AX93" si="27">AP89-AI89</f>
        <v>0</v>
      </c>
    </row>
    <row r="90" s="35" customFormat="1" ht="44" customHeight="1" spans="1:58">
      <c r="A90" s="46" t="s">
        <v>248</v>
      </c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>
        <v>3.5</v>
      </c>
      <c r="AD90" s="46"/>
      <c r="AE90" s="46"/>
      <c r="AF90" s="46"/>
      <c r="AG90" s="46">
        <f t="shared" si="22"/>
        <v>3.5</v>
      </c>
      <c r="AH90" s="61">
        <v>25</v>
      </c>
      <c r="AI90" s="54">
        <f t="shared" si="23"/>
        <v>87.5</v>
      </c>
      <c r="AL90" s="46" t="s">
        <v>248</v>
      </c>
      <c r="AM90" s="55">
        <f t="shared" si="24"/>
        <v>87.5</v>
      </c>
      <c r="AO90" s="46"/>
      <c r="AP90" s="55"/>
      <c r="AR90" s="46"/>
      <c r="AS90" s="55"/>
      <c r="AV90" s="35">
        <f t="shared" si="25"/>
        <v>0</v>
      </c>
    </row>
    <row r="91" s="35" customFormat="1" ht="44" customHeight="1" spans="1:58">
      <c r="A91" s="69" t="s">
        <v>454</v>
      </c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>
        <v>8</v>
      </c>
      <c r="Y91" s="68">
        <v>8</v>
      </c>
      <c r="Z91" s="46"/>
      <c r="AA91" s="46"/>
      <c r="AB91" s="46"/>
      <c r="AC91" s="46"/>
      <c r="AD91" s="46"/>
      <c r="AE91" s="46">
        <v>8</v>
      </c>
      <c r="AF91" s="46">
        <v>14</v>
      </c>
      <c r="AG91" s="46">
        <f t="shared" si="22"/>
        <v>38</v>
      </c>
      <c r="AH91" s="61">
        <v>40</v>
      </c>
      <c r="AI91" s="54">
        <f t="shared" si="23"/>
        <v>1520</v>
      </c>
      <c r="AL91" s="69"/>
      <c r="AM91" s="55"/>
      <c r="AO91" s="69" t="s">
        <v>248</v>
      </c>
      <c r="AP91" s="55">
        <f t="shared" si="26"/>
        <v>1520</v>
      </c>
      <c r="AR91" s="67"/>
      <c r="AS91" s="55"/>
      <c r="AX91" s="35">
        <f t="shared" si="27"/>
        <v>0</v>
      </c>
    </row>
    <row r="92" s="35" customFormat="1" ht="44" customHeight="1" spans="1:58">
      <c r="A92" s="67" t="s">
        <v>388</v>
      </c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>
        <v>2.5</v>
      </c>
      <c r="T92" s="46"/>
      <c r="U92" s="46"/>
      <c r="V92" s="46">
        <v>1.5</v>
      </c>
      <c r="W92" s="46"/>
      <c r="X92" s="46"/>
      <c r="Y92" s="68"/>
      <c r="Z92" s="46"/>
      <c r="AA92" s="46"/>
      <c r="AB92" s="46"/>
      <c r="AC92" s="46"/>
      <c r="AD92" s="46"/>
      <c r="AE92" s="46"/>
      <c r="AF92" s="46"/>
      <c r="AG92" s="46">
        <f t="shared" si="22"/>
        <v>4</v>
      </c>
      <c r="AH92" s="61">
        <v>25</v>
      </c>
      <c r="AI92" s="54">
        <f t="shared" si="23"/>
        <v>100</v>
      </c>
      <c r="AL92" s="67" t="s">
        <v>388</v>
      </c>
      <c r="AM92" s="55">
        <f t="shared" si="24"/>
        <v>100</v>
      </c>
      <c r="AO92" s="67"/>
      <c r="AP92" s="55"/>
      <c r="AR92" s="67"/>
      <c r="AS92" s="55"/>
      <c r="AV92" s="35">
        <f>AM92-AI92</f>
        <v>0</v>
      </c>
    </row>
    <row r="93" s="35" customFormat="1" ht="44" customHeight="1" spans="1:58">
      <c r="A93" s="69" t="s">
        <v>455</v>
      </c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>
        <v>8</v>
      </c>
      <c r="Y93" s="68">
        <v>8</v>
      </c>
      <c r="Z93" s="46"/>
      <c r="AA93" s="46"/>
      <c r="AB93" s="46"/>
      <c r="AC93" s="46"/>
      <c r="AD93" s="46"/>
      <c r="AE93" s="46"/>
      <c r="AF93" s="46"/>
      <c r="AG93" s="46">
        <f t="shared" si="22"/>
        <v>16</v>
      </c>
      <c r="AH93" s="61">
        <v>40</v>
      </c>
      <c r="AI93" s="54">
        <f t="shared" si="23"/>
        <v>640</v>
      </c>
      <c r="AL93" s="69"/>
      <c r="AM93" s="55"/>
      <c r="AO93" s="69" t="s">
        <v>388</v>
      </c>
      <c r="AP93" s="55">
        <f t="shared" si="26"/>
        <v>640</v>
      </c>
      <c r="AR93" s="67"/>
      <c r="AS93" s="55"/>
      <c r="AX93" s="35">
        <f>AP93-AI93</f>
        <v>0</v>
      </c>
    </row>
    <row r="94" s="35" customFormat="1" ht="44" customHeight="1" spans="1:58">
      <c r="A94" s="46" t="s">
        <v>224</v>
      </c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>
        <v>1.5</v>
      </c>
      <c r="AC94" s="46"/>
      <c r="AD94" s="46"/>
      <c r="AE94" s="46"/>
      <c r="AF94" s="46"/>
      <c r="AG94" s="46">
        <f t="shared" si="22"/>
        <v>1.5</v>
      </c>
      <c r="AH94" s="61">
        <v>25</v>
      </c>
      <c r="AI94" s="54">
        <f t="shared" si="23"/>
        <v>37.5</v>
      </c>
      <c r="AL94" s="58" t="s">
        <v>224</v>
      </c>
      <c r="AM94" s="55">
        <f>AI94</f>
        <v>37.5</v>
      </c>
      <c r="AO94" s="55"/>
      <c r="AP94" s="55"/>
      <c r="AR94" s="46"/>
      <c r="AS94" s="55"/>
      <c r="AV94" s="35">
        <f>AM94-AI94</f>
        <v>0</v>
      </c>
    </row>
    <row r="95" s="35" customFormat="1" ht="44" customHeight="1" spans="1:58">
      <c r="A95" s="46" t="s">
        <v>225</v>
      </c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>
        <v>1.5</v>
      </c>
      <c r="N95" s="46">
        <v>1</v>
      </c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>
        <v>3.5</v>
      </c>
      <c r="AB95" s="46"/>
      <c r="AC95" s="46"/>
      <c r="AD95" s="46"/>
      <c r="AE95" s="46"/>
      <c r="AF95" s="46"/>
      <c r="AG95" s="46">
        <f t="shared" si="22"/>
        <v>6</v>
      </c>
      <c r="AH95" s="61">
        <v>25</v>
      </c>
      <c r="AI95" s="54">
        <f t="shared" si="23"/>
        <v>150</v>
      </c>
      <c r="AL95" s="46" t="s">
        <v>225</v>
      </c>
      <c r="AM95" s="55">
        <f>AI95</f>
        <v>150</v>
      </c>
      <c r="AO95" s="55"/>
      <c r="AP95" s="55"/>
      <c r="AR95" s="46"/>
      <c r="AS95" s="55"/>
      <c r="AV95" s="35">
        <f>AM95-AI95</f>
        <v>0</v>
      </c>
    </row>
    <row r="96" s="35" customFormat="1" ht="44" customHeight="1" spans="1:58">
      <c r="A96" s="64" t="s">
        <v>456</v>
      </c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>
        <v>5</v>
      </c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>
        <v>2</v>
      </c>
      <c r="AF96" s="46"/>
      <c r="AG96" s="46">
        <f t="shared" si="22"/>
        <v>7</v>
      </c>
      <c r="AH96" s="61">
        <v>40</v>
      </c>
      <c r="AI96" s="54">
        <f t="shared" si="23"/>
        <v>280</v>
      </c>
      <c r="AL96" s="64"/>
      <c r="AM96" s="55"/>
      <c r="AO96" s="64" t="s">
        <v>225</v>
      </c>
      <c r="AP96" s="55">
        <f>AI96</f>
        <v>280</v>
      </c>
      <c r="AR96" s="46"/>
      <c r="AS96" s="55"/>
      <c r="AX96" s="35">
        <f>AP96-AI96</f>
        <v>0</v>
      </c>
    </row>
    <row r="97" s="35" customFormat="1" ht="44" customHeight="1" spans="1:50">
      <c r="A97" s="46" t="s">
        <v>380</v>
      </c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>
        <v>3</v>
      </c>
      <c r="N97" s="46">
        <v>2.5</v>
      </c>
      <c r="O97" s="46"/>
      <c r="P97" s="46"/>
      <c r="Q97" s="46"/>
      <c r="R97" s="46"/>
      <c r="S97" s="46">
        <v>1</v>
      </c>
      <c r="T97" s="46"/>
      <c r="U97" s="46"/>
      <c r="V97" s="46"/>
      <c r="W97" s="46"/>
      <c r="X97" s="46"/>
      <c r="Y97" s="46"/>
      <c r="Z97" s="46"/>
      <c r="AA97" s="46">
        <v>1.5</v>
      </c>
      <c r="AB97" s="46">
        <v>2</v>
      </c>
      <c r="AC97" s="46"/>
      <c r="AD97" s="46"/>
      <c r="AE97" s="46"/>
      <c r="AF97" s="46"/>
      <c r="AG97" s="46">
        <f t="shared" si="22"/>
        <v>10</v>
      </c>
      <c r="AH97" s="61">
        <v>25</v>
      </c>
      <c r="AI97" s="54">
        <f t="shared" si="23"/>
        <v>250</v>
      </c>
      <c r="AL97" s="46" t="s">
        <v>380</v>
      </c>
      <c r="AM97" s="55">
        <f>AI97</f>
        <v>250</v>
      </c>
      <c r="AO97" s="55"/>
      <c r="AP97" s="55"/>
      <c r="AR97" s="46"/>
      <c r="AS97" s="55"/>
      <c r="AV97" s="35">
        <f>AM97-AI97</f>
        <v>0</v>
      </c>
    </row>
    <row r="98" s="35" customFormat="1" ht="44" customHeight="1" spans="1:50">
      <c r="A98" s="46" t="s">
        <v>383</v>
      </c>
      <c r="B98" s="46"/>
      <c r="C98" s="46"/>
      <c r="D98" s="46"/>
      <c r="E98" s="46"/>
      <c r="F98" s="46"/>
      <c r="G98" s="46"/>
      <c r="H98" s="46"/>
      <c r="I98" s="46"/>
      <c r="J98" s="46">
        <v>1</v>
      </c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>
        <f t="shared" si="22"/>
        <v>1</v>
      </c>
      <c r="AH98" s="61">
        <v>25</v>
      </c>
      <c r="AI98" s="54">
        <f t="shared" si="23"/>
        <v>25</v>
      </c>
      <c r="AL98" s="46" t="s">
        <v>383</v>
      </c>
      <c r="AM98" s="55">
        <f>AI98</f>
        <v>25</v>
      </c>
      <c r="AO98" s="55"/>
      <c r="AP98" s="55"/>
      <c r="AR98" s="46"/>
      <c r="AS98" s="55"/>
      <c r="AV98" s="35">
        <f>AM98-AI98</f>
        <v>0</v>
      </c>
    </row>
    <row r="99" s="35" customFormat="1" ht="44" customHeight="1" spans="1:50">
      <c r="A99" s="46" t="s">
        <v>216</v>
      </c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>
        <v>2.5</v>
      </c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  <c r="AG99" s="46">
        <f t="shared" si="22"/>
        <v>2.5</v>
      </c>
      <c r="AH99" s="61">
        <v>25</v>
      </c>
      <c r="AI99" s="54">
        <f t="shared" si="23"/>
        <v>62.5</v>
      </c>
      <c r="AL99" s="58" t="s">
        <v>216</v>
      </c>
      <c r="AM99" s="55">
        <f>AI99</f>
        <v>62.5</v>
      </c>
      <c r="AO99" s="55"/>
      <c r="AP99" s="55"/>
      <c r="AR99" s="46"/>
      <c r="AS99" s="55"/>
      <c r="AV99" s="35">
        <f>AM99-AI99</f>
        <v>0</v>
      </c>
    </row>
    <row r="100" s="35" customFormat="1" ht="44" customHeight="1" spans="1:50">
      <c r="A100" s="46" t="s">
        <v>212</v>
      </c>
      <c r="B100" s="46"/>
      <c r="C100" s="46"/>
      <c r="D100" s="46"/>
      <c r="E100" s="46"/>
      <c r="F100" s="46"/>
      <c r="G100" s="46">
        <v>1</v>
      </c>
      <c r="H100" s="46"/>
      <c r="I100" s="46">
        <v>1</v>
      </c>
      <c r="J100" s="46"/>
      <c r="K100" s="46"/>
      <c r="L100" s="46"/>
      <c r="M100" s="46"/>
      <c r="N100" s="46"/>
      <c r="O100" s="46"/>
      <c r="P100" s="46">
        <v>1</v>
      </c>
      <c r="Q100" s="46"/>
      <c r="R100" s="46"/>
      <c r="S100" s="46">
        <v>2</v>
      </c>
      <c r="T100" s="46">
        <v>2.5</v>
      </c>
      <c r="U100" s="46">
        <v>2.5</v>
      </c>
      <c r="V100" s="46"/>
      <c r="W100" s="46"/>
      <c r="X100" s="46"/>
      <c r="Y100" s="46"/>
      <c r="Z100" s="46"/>
      <c r="AA100" s="46"/>
      <c r="AB100" s="46">
        <v>1.5</v>
      </c>
      <c r="AC100" s="46"/>
      <c r="AD100" s="46"/>
      <c r="AE100" s="46"/>
      <c r="AF100" s="46"/>
      <c r="AG100" s="46">
        <f t="shared" si="22"/>
        <v>11.5</v>
      </c>
      <c r="AH100" s="61">
        <v>25</v>
      </c>
      <c r="AI100" s="54">
        <f t="shared" si="23"/>
        <v>287.5</v>
      </c>
      <c r="AL100" s="46" t="s">
        <v>212</v>
      </c>
      <c r="AM100" s="55">
        <f>AI100</f>
        <v>287.5</v>
      </c>
      <c r="AO100" s="46"/>
      <c r="AP100" s="55"/>
      <c r="AR100" s="46"/>
      <c r="AS100" s="55"/>
      <c r="AV100" s="35">
        <f>AM100-AI100</f>
        <v>0</v>
      </c>
    </row>
    <row r="101" s="35" customFormat="1" ht="44" customHeight="1" spans="1:50">
      <c r="A101" s="64" t="s">
        <v>457</v>
      </c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>
        <v>8</v>
      </c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>
        <v>6</v>
      </c>
      <c r="AF101" s="46"/>
      <c r="AG101" s="46">
        <f t="shared" si="22"/>
        <v>14</v>
      </c>
      <c r="AH101" s="61">
        <v>40</v>
      </c>
      <c r="AI101" s="54">
        <f t="shared" si="23"/>
        <v>560</v>
      </c>
      <c r="AL101" s="64"/>
      <c r="AM101" s="55"/>
      <c r="AO101" s="64" t="s">
        <v>212</v>
      </c>
      <c r="AP101" s="55">
        <f>AI101</f>
        <v>560</v>
      </c>
      <c r="AR101" s="46"/>
      <c r="AS101" s="55"/>
      <c r="AX101" s="35">
        <f>AP101-AI101</f>
        <v>0</v>
      </c>
    </row>
    <row r="102" s="35" customFormat="1" ht="44" customHeight="1" spans="1:50">
      <c r="A102" s="46" t="s">
        <v>220</v>
      </c>
      <c r="B102" s="46"/>
      <c r="C102" s="46"/>
      <c r="D102" s="46"/>
      <c r="E102" s="46"/>
      <c r="F102" s="46"/>
      <c r="G102" s="46">
        <v>1</v>
      </c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46"/>
      <c r="AE102" s="46"/>
      <c r="AF102" s="46"/>
      <c r="AG102" s="46">
        <f t="shared" si="22"/>
        <v>1</v>
      </c>
      <c r="AH102" s="61">
        <v>25</v>
      </c>
      <c r="AI102" s="54">
        <f t="shared" si="23"/>
        <v>25</v>
      </c>
      <c r="AL102" s="46" t="s">
        <v>220</v>
      </c>
      <c r="AM102" s="55">
        <f>AI102</f>
        <v>25</v>
      </c>
      <c r="AO102" s="46"/>
      <c r="AP102" s="55"/>
      <c r="AR102" s="46"/>
      <c r="AS102" s="55"/>
      <c r="AV102" s="35">
        <f>AM102-AI102</f>
        <v>0</v>
      </c>
    </row>
    <row r="103" s="35" customFormat="1" ht="44" customHeight="1" spans="1:50">
      <c r="A103" s="46" t="s">
        <v>384</v>
      </c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>
        <v>2</v>
      </c>
      <c r="AD103" s="46"/>
      <c r="AE103" s="46"/>
      <c r="AF103" s="46"/>
      <c r="AG103" s="46">
        <f t="shared" si="22"/>
        <v>2</v>
      </c>
      <c r="AH103" s="61">
        <v>25</v>
      </c>
      <c r="AI103" s="54">
        <f t="shared" si="23"/>
        <v>50</v>
      </c>
      <c r="AL103" s="46" t="s">
        <v>384</v>
      </c>
      <c r="AM103" s="55">
        <f>AI103</f>
        <v>50</v>
      </c>
      <c r="AO103" s="46"/>
      <c r="AP103" s="55"/>
      <c r="AR103" s="46"/>
      <c r="AS103" s="55"/>
      <c r="AV103" s="35">
        <f>AM103-AI103</f>
        <v>0</v>
      </c>
    </row>
    <row r="104" s="35" customFormat="1" ht="44" customHeight="1" spans="1:50">
      <c r="A104" s="46" t="s">
        <v>229</v>
      </c>
      <c r="B104" s="46"/>
      <c r="C104" s="46"/>
      <c r="D104" s="46"/>
      <c r="E104" s="46"/>
      <c r="F104" s="46"/>
      <c r="G104" s="46"/>
      <c r="H104" s="46">
        <v>2</v>
      </c>
      <c r="I104" s="46">
        <v>2</v>
      </c>
      <c r="J104" s="46">
        <v>2.5</v>
      </c>
      <c r="K104" s="46"/>
      <c r="L104" s="46">
        <v>1</v>
      </c>
      <c r="M104" s="46">
        <v>2</v>
      </c>
      <c r="N104" s="46">
        <v>1.5</v>
      </c>
      <c r="O104" s="46">
        <v>1.5</v>
      </c>
      <c r="P104" s="46"/>
      <c r="Q104" s="46"/>
      <c r="R104" s="46"/>
      <c r="S104" s="46">
        <v>1</v>
      </c>
      <c r="T104" s="46"/>
      <c r="U104" s="46">
        <v>1</v>
      </c>
      <c r="V104" s="46"/>
      <c r="W104" s="46">
        <v>1</v>
      </c>
      <c r="X104" s="46"/>
      <c r="Y104" s="46"/>
      <c r="Z104" s="46">
        <v>1.5</v>
      </c>
      <c r="AA104" s="46">
        <v>2</v>
      </c>
      <c r="AB104" s="46">
        <v>1</v>
      </c>
      <c r="AC104" s="46">
        <v>1.5</v>
      </c>
      <c r="AD104" s="46">
        <v>1.5</v>
      </c>
      <c r="AE104" s="46"/>
      <c r="AF104" s="46"/>
      <c r="AG104" s="46">
        <f t="shared" si="22"/>
        <v>23</v>
      </c>
      <c r="AH104" s="61">
        <v>25</v>
      </c>
      <c r="AI104" s="54">
        <f t="shared" si="23"/>
        <v>575</v>
      </c>
      <c r="AL104" s="46" t="s">
        <v>229</v>
      </c>
      <c r="AM104" s="55">
        <f>AI104</f>
        <v>575</v>
      </c>
      <c r="AO104" s="46"/>
      <c r="AP104" s="55"/>
      <c r="AR104" s="46"/>
      <c r="AS104" s="55"/>
      <c r="AV104" s="35">
        <f>AM104-AI104</f>
        <v>0</v>
      </c>
    </row>
    <row r="105" s="35" customFormat="1" ht="44" customHeight="1" spans="1:50">
      <c r="A105" s="64" t="s">
        <v>458</v>
      </c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>
        <v>2</v>
      </c>
      <c r="S105" s="46"/>
      <c r="T105" s="46"/>
      <c r="U105" s="46"/>
      <c r="V105" s="46"/>
      <c r="W105" s="46"/>
      <c r="X105" s="46"/>
      <c r="Y105" s="46">
        <v>4.5</v>
      </c>
      <c r="Z105" s="46"/>
      <c r="AA105" s="46"/>
      <c r="AB105" s="46"/>
      <c r="AC105" s="46"/>
      <c r="AD105" s="46"/>
      <c r="AE105" s="46"/>
      <c r="AF105" s="46">
        <v>5</v>
      </c>
      <c r="AG105" s="46">
        <f t="shared" si="22"/>
        <v>11.5</v>
      </c>
      <c r="AH105" s="61">
        <v>40</v>
      </c>
      <c r="AI105" s="54">
        <f t="shared" si="23"/>
        <v>460</v>
      </c>
      <c r="AL105" s="64"/>
      <c r="AM105" s="55"/>
      <c r="AO105" s="64" t="s">
        <v>229</v>
      </c>
      <c r="AP105" s="55">
        <f>AI105</f>
        <v>460</v>
      </c>
      <c r="AR105" s="46"/>
      <c r="AS105" s="55"/>
      <c r="AX105" s="35">
        <f>AP105-AI105</f>
        <v>0</v>
      </c>
    </row>
    <row r="106" s="35" customFormat="1" ht="44" customHeight="1" spans="1:50">
      <c r="A106" s="46" t="s">
        <v>231</v>
      </c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>
        <v>4</v>
      </c>
      <c r="P106" s="46"/>
      <c r="Q106" s="46"/>
      <c r="R106" s="46"/>
      <c r="S106" s="46"/>
      <c r="T106" s="46">
        <v>1.5</v>
      </c>
      <c r="U106" s="46"/>
      <c r="V106" s="46"/>
      <c r="W106" s="46"/>
      <c r="X106" s="46"/>
      <c r="Y106" s="46"/>
      <c r="Z106" s="46">
        <v>1</v>
      </c>
      <c r="AA106" s="46">
        <v>4</v>
      </c>
      <c r="AB106" s="46"/>
      <c r="AC106" s="46"/>
      <c r="AD106" s="46"/>
      <c r="AE106" s="46"/>
      <c r="AF106" s="46"/>
      <c r="AG106" s="46">
        <f t="shared" si="22"/>
        <v>10.5</v>
      </c>
      <c r="AH106" s="61">
        <v>25</v>
      </c>
      <c r="AI106" s="54">
        <f t="shared" si="23"/>
        <v>262.5</v>
      </c>
      <c r="AL106" s="46" t="s">
        <v>231</v>
      </c>
      <c r="AM106" s="55">
        <f>AI106</f>
        <v>262.5</v>
      </c>
      <c r="AO106" s="55"/>
      <c r="AP106" s="55"/>
      <c r="AR106" s="46"/>
      <c r="AS106" s="55"/>
      <c r="AV106" s="35">
        <f>AM106-AI106</f>
        <v>0</v>
      </c>
    </row>
    <row r="107" s="35" customFormat="1" ht="44" customHeight="1" spans="1:50">
      <c r="A107" s="64" t="s">
        <v>459</v>
      </c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>
        <v>2</v>
      </c>
      <c r="Y107" s="46"/>
      <c r="Z107" s="46"/>
      <c r="AA107" s="46"/>
      <c r="AB107" s="46"/>
      <c r="AC107" s="46"/>
      <c r="AD107" s="46"/>
      <c r="AE107" s="46"/>
      <c r="AF107" s="46"/>
      <c r="AG107" s="46">
        <f t="shared" si="22"/>
        <v>2</v>
      </c>
      <c r="AH107" s="61">
        <v>40</v>
      </c>
      <c r="AI107" s="54">
        <f t="shared" si="23"/>
        <v>80</v>
      </c>
      <c r="AL107" s="64"/>
      <c r="AM107" s="55"/>
      <c r="AO107" s="64" t="s">
        <v>231</v>
      </c>
      <c r="AP107" s="55">
        <f>AI107</f>
        <v>80</v>
      </c>
      <c r="AR107" s="46"/>
      <c r="AS107" s="55"/>
      <c r="AX107" s="35">
        <f>AP107-AI107</f>
        <v>0</v>
      </c>
    </row>
    <row r="108" s="35" customFormat="1" ht="44" customHeight="1" spans="1:50">
      <c r="A108" s="46" t="s">
        <v>228</v>
      </c>
      <c r="B108" s="46"/>
      <c r="C108" s="46"/>
      <c r="D108" s="46"/>
      <c r="E108" s="46"/>
      <c r="F108" s="46"/>
      <c r="G108" s="46"/>
      <c r="H108" s="46">
        <v>1.5</v>
      </c>
      <c r="I108" s="46"/>
      <c r="J108" s="46"/>
      <c r="K108" s="46"/>
      <c r="L108" s="46"/>
      <c r="M108" s="46"/>
      <c r="N108" s="46">
        <v>1.5</v>
      </c>
      <c r="O108" s="46"/>
      <c r="P108" s="46"/>
      <c r="Q108" s="46"/>
      <c r="R108" s="46"/>
      <c r="S108" s="46">
        <v>1</v>
      </c>
      <c r="T108" s="46"/>
      <c r="U108" s="46">
        <v>1</v>
      </c>
      <c r="V108" s="46"/>
      <c r="W108" s="46">
        <v>1.5</v>
      </c>
      <c r="X108" s="46"/>
      <c r="Y108" s="46"/>
      <c r="Z108" s="46"/>
      <c r="AA108" s="46"/>
      <c r="AB108" s="46"/>
      <c r="AC108" s="46">
        <v>2</v>
      </c>
      <c r="AD108" s="46"/>
      <c r="AE108" s="46"/>
      <c r="AF108" s="46"/>
      <c r="AG108" s="46">
        <f t="shared" si="22"/>
        <v>8.5</v>
      </c>
      <c r="AH108" s="61">
        <v>25</v>
      </c>
      <c r="AI108" s="54">
        <f t="shared" si="23"/>
        <v>212.5</v>
      </c>
      <c r="AL108" s="46" t="s">
        <v>228</v>
      </c>
      <c r="AM108" s="55">
        <f>AI108</f>
        <v>212.5</v>
      </c>
      <c r="AO108" s="46"/>
      <c r="AP108" s="55"/>
      <c r="AR108" s="46"/>
      <c r="AS108" s="55"/>
      <c r="AV108" s="35">
        <f>AM108-AI108</f>
        <v>0</v>
      </c>
    </row>
    <row r="109" s="35" customFormat="1" ht="44" customHeight="1" spans="1:50">
      <c r="A109" s="64" t="s">
        <v>460</v>
      </c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>
        <v>6</v>
      </c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  <c r="AD109" s="46"/>
      <c r="AE109" s="46"/>
      <c r="AF109" s="46"/>
      <c r="AG109" s="46">
        <f t="shared" si="22"/>
        <v>6</v>
      </c>
      <c r="AH109" s="61">
        <v>40</v>
      </c>
      <c r="AI109" s="54">
        <f t="shared" si="23"/>
        <v>240</v>
      </c>
      <c r="AL109" s="64"/>
      <c r="AM109" s="55"/>
      <c r="AO109" s="64" t="s">
        <v>228</v>
      </c>
      <c r="AP109" s="55">
        <f>AI109</f>
        <v>240</v>
      </c>
      <c r="AR109" s="46"/>
      <c r="AS109" s="55"/>
      <c r="AX109" s="35">
        <f>AP109-AI109</f>
        <v>0</v>
      </c>
    </row>
    <row r="110" s="35" customFormat="1" ht="44" customHeight="1" spans="1:50">
      <c r="A110" s="46" t="s">
        <v>226</v>
      </c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>
        <v>2</v>
      </c>
      <c r="M110" s="46">
        <v>2</v>
      </c>
      <c r="N110" s="46">
        <v>2</v>
      </c>
      <c r="O110" s="46">
        <v>2.5</v>
      </c>
      <c r="P110" s="46"/>
      <c r="Q110" s="46"/>
      <c r="R110" s="46"/>
      <c r="S110" s="46">
        <v>1.5</v>
      </c>
      <c r="T110" s="46">
        <v>1</v>
      </c>
      <c r="U110" s="46">
        <v>1</v>
      </c>
      <c r="V110" s="46">
        <v>1</v>
      </c>
      <c r="W110" s="46"/>
      <c r="X110" s="46"/>
      <c r="Y110" s="46"/>
      <c r="Z110" s="46">
        <v>1.5</v>
      </c>
      <c r="AA110" s="46"/>
      <c r="AB110" s="46"/>
      <c r="AC110" s="46">
        <v>1.5</v>
      </c>
      <c r="AD110" s="46"/>
      <c r="AE110" s="46"/>
      <c r="AF110" s="46"/>
      <c r="AG110" s="46">
        <f t="shared" si="22"/>
        <v>16</v>
      </c>
      <c r="AH110" s="61">
        <v>25</v>
      </c>
      <c r="AI110" s="54">
        <f t="shared" si="23"/>
        <v>400</v>
      </c>
      <c r="AL110" s="46" t="s">
        <v>226</v>
      </c>
      <c r="AM110" s="55">
        <f>AI110</f>
        <v>400</v>
      </c>
      <c r="AO110" s="46"/>
      <c r="AP110" s="55"/>
      <c r="AR110" s="46"/>
      <c r="AS110" s="55"/>
      <c r="AV110" s="35">
        <f>AM110-AI110</f>
        <v>0</v>
      </c>
    </row>
    <row r="111" s="35" customFormat="1" ht="44" customHeight="1" spans="1:50">
      <c r="A111" s="64" t="s">
        <v>461</v>
      </c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>
        <v>6</v>
      </c>
      <c r="Z111" s="46"/>
      <c r="AA111" s="46"/>
      <c r="AB111" s="46"/>
      <c r="AC111" s="46"/>
      <c r="AD111" s="46"/>
      <c r="AE111" s="46"/>
      <c r="AF111" s="46"/>
      <c r="AG111" s="46">
        <f t="shared" si="22"/>
        <v>6</v>
      </c>
      <c r="AH111" s="61">
        <v>40</v>
      </c>
      <c r="AI111" s="54">
        <f t="shared" si="23"/>
        <v>240</v>
      </c>
      <c r="AL111" s="64"/>
      <c r="AM111" s="55"/>
      <c r="AO111" s="64" t="s">
        <v>226</v>
      </c>
      <c r="AP111" s="55">
        <f>AI111</f>
        <v>240</v>
      </c>
      <c r="AR111" s="46"/>
      <c r="AS111" s="55"/>
      <c r="AX111" s="35">
        <f>AP111-AI111</f>
        <v>0</v>
      </c>
    </row>
    <row r="112" s="35" customFormat="1" ht="44" customHeight="1" spans="1:50">
      <c r="A112" s="46" t="s">
        <v>230</v>
      </c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>
        <v>2.5</v>
      </c>
      <c r="N112" s="46">
        <v>2.5</v>
      </c>
      <c r="O112" s="46"/>
      <c r="P112" s="46"/>
      <c r="Q112" s="46"/>
      <c r="R112" s="46"/>
      <c r="S112" s="46"/>
      <c r="T112" s="46"/>
      <c r="U112" s="46"/>
      <c r="V112" s="46"/>
      <c r="W112" s="46">
        <v>2</v>
      </c>
      <c r="X112" s="46"/>
      <c r="Y112" s="46"/>
      <c r="Z112" s="46"/>
      <c r="AA112" s="46"/>
      <c r="AB112" s="46">
        <v>2.5</v>
      </c>
      <c r="AC112" s="46">
        <v>1.5</v>
      </c>
      <c r="AD112" s="46"/>
      <c r="AE112" s="46"/>
      <c r="AF112" s="46"/>
      <c r="AG112" s="46">
        <f t="shared" si="22"/>
        <v>11</v>
      </c>
      <c r="AH112" s="61">
        <v>25</v>
      </c>
      <c r="AI112" s="54">
        <f t="shared" si="23"/>
        <v>275</v>
      </c>
      <c r="AL112" s="46" t="s">
        <v>230</v>
      </c>
      <c r="AM112" s="55">
        <f>AI112</f>
        <v>275</v>
      </c>
      <c r="AO112" s="46"/>
      <c r="AP112" s="55"/>
      <c r="AR112" s="46"/>
      <c r="AS112" s="55"/>
      <c r="AV112" s="35">
        <f>AM112-AI112</f>
        <v>0</v>
      </c>
    </row>
    <row r="113" s="35" customFormat="1" ht="44" customHeight="1" spans="1:52">
      <c r="A113" s="46" t="s">
        <v>381</v>
      </c>
      <c r="B113" s="46"/>
      <c r="C113" s="46"/>
      <c r="D113" s="46"/>
      <c r="E113" s="46"/>
      <c r="F113" s="46"/>
      <c r="G113" s="46">
        <v>1.5</v>
      </c>
      <c r="H113" s="46">
        <v>2</v>
      </c>
      <c r="I113" s="46">
        <v>2</v>
      </c>
      <c r="J113" s="46">
        <v>1</v>
      </c>
      <c r="K113" s="46"/>
      <c r="L113" s="46">
        <v>1</v>
      </c>
      <c r="M113" s="46">
        <v>1</v>
      </c>
      <c r="N113" s="46">
        <v>1</v>
      </c>
      <c r="O113" s="46"/>
      <c r="P113" s="46"/>
      <c r="Q113" s="46"/>
      <c r="R113" s="46"/>
      <c r="S113" s="46"/>
      <c r="T113" s="46"/>
      <c r="U113" s="46"/>
      <c r="V113" s="46">
        <v>1</v>
      </c>
      <c r="W113" s="46">
        <v>1</v>
      </c>
      <c r="X113" s="46"/>
      <c r="Y113" s="46"/>
      <c r="Z113" s="46">
        <v>1</v>
      </c>
      <c r="AA113" s="46">
        <v>1.5</v>
      </c>
      <c r="AB113" s="46">
        <v>2</v>
      </c>
      <c r="AC113" s="46"/>
      <c r="AD113" s="46"/>
      <c r="AE113" s="46"/>
      <c r="AF113" s="46"/>
      <c r="AG113" s="46">
        <f t="shared" si="22"/>
        <v>16</v>
      </c>
      <c r="AH113" s="61">
        <v>25</v>
      </c>
      <c r="AI113" s="54">
        <f t="shared" si="23"/>
        <v>400</v>
      </c>
      <c r="AL113" s="58" t="s">
        <v>381</v>
      </c>
      <c r="AM113" s="55">
        <f>AI113</f>
        <v>400</v>
      </c>
      <c r="AN113" s="55"/>
      <c r="AO113" s="55"/>
      <c r="AP113" s="55"/>
      <c r="AR113" s="46"/>
      <c r="AS113" s="55"/>
      <c r="AV113" s="35">
        <f>AM113-AI113</f>
        <v>0</v>
      </c>
    </row>
    <row r="114" s="35" customFormat="1" ht="44" customHeight="1" spans="1:52">
      <c r="A114" s="64" t="s">
        <v>462</v>
      </c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>
        <v>10</v>
      </c>
      <c r="R114" s="46"/>
      <c r="S114" s="46"/>
      <c r="T114" s="46"/>
      <c r="U114" s="46"/>
      <c r="V114" s="46"/>
      <c r="W114" s="46"/>
      <c r="X114" s="46">
        <v>9.5</v>
      </c>
      <c r="Y114" s="46"/>
      <c r="Z114" s="46"/>
      <c r="AA114" s="46"/>
      <c r="AB114" s="46"/>
      <c r="AC114" s="46"/>
      <c r="AD114" s="46"/>
      <c r="AE114" s="46"/>
      <c r="AF114" s="46"/>
      <c r="AG114" s="46">
        <f t="shared" si="22"/>
        <v>19.5</v>
      </c>
      <c r="AH114" s="61">
        <v>40</v>
      </c>
      <c r="AI114" s="54">
        <f t="shared" si="23"/>
        <v>780</v>
      </c>
      <c r="AL114" s="64"/>
      <c r="AM114" s="55"/>
      <c r="AN114" s="70"/>
      <c r="AO114" s="64" t="s">
        <v>381</v>
      </c>
      <c r="AP114" s="55">
        <f>AI114</f>
        <v>780</v>
      </c>
      <c r="AR114" s="46"/>
      <c r="AS114" s="55"/>
      <c r="AX114" s="35">
        <f>AP114-AI114</f>
        <v>0</v>
      </c>
    </row>
    <row r="115" s="35" customFormat="1" ht="44" customHeight="1" spans="1:52">
      <c r="A115" s="64" t="s">
        <v>463</v>
      </c>
      <c r="B115" s="46"/>
      <c r="C115" s="46"/>
      <c r="D115" s="46"/>
      <c r="E115" s="46">
        <v>8.5</v>
      </c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  <c r="AD115" s="46"/>
      <c r="AE115" s="46"/>
      <c r="AF115" s="46"/>
      <c r="AG115" s="46">
        <f t="shared" si="22"/>
        <v>8.5</v>
      </c>
      <c r="AH115" s="61">
        <v>40</v>
      </c>
      <c r="AI115" s="54">
        <f t="shared" si="23"/>
        <v>340</v>
      </c>
      <c r="AL115" s="64"/>
      <c r="AM115" s="55"/>
      <c r="AO115" s="64" t="s">
        <v>233</v>
      </c>
      <c r="AP115" s="55">
        <f>AI115</f>
        <v>340</v>
      </c>
      <c r="AR115" s="46"/>
      <c r="AS115" s="55"/>
      <c r="AX115" s="35">
        <f>AP115-AI115</f>
        <v>0</v>
      </c>
    </row>
    <row r="116" s="35" customFormat="1" ht="44" customHeight="1" spans="1:52">
      <c r="A116" s="46" t="s">
        <v>234</v>
      </c>
      <c r="B116" s="46"/>
      <c r="C116" s="46"/>
      <c r="D116" s="46"/>
      <c r="E116" s="46"/>
      <c r="F116" s="46"/>
      <c r="G116" s="46"/>
      <c r="H116" s="46">
        <v>1.5</v>
      </c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>
        <v>2</v>
      </c>
      <c r="T116" s="46">
        <v>1</v>
      </c>
      <c r="U116" s="46"/>
      <c r="V116" s="46">
        <v>3</v>
      </c>
      <c r="W116" s="46"/>
      <c r="X116" s="46"/>
      <c r="Y116" s="46"/>
      <c r="Z116" s="46"/>
      <c r="AA116" s="46"/>
      <c r="AB116" s="46"/>
      <c r="AC116" s="46"/>
      <c r="AD116" s="46"/>
      <c r="AE116" s="46"/>
      <c r="AF116" s="46"/>
      <c r="AG116" s="46">
        <f t="shared" si="22"/>
        <v>7.5</v>
      </c>
      <c r="AH116" s="61">
        <v>25</v>
      </c>
      <c r="AI116" s="54">
        <f t="shared" si="23"/>
        <v>187.5</v>
      </c>
      <c r="AL116" s="58" t="s">
        <v>234</v>
      </c>
      <c r="AM116" s="55">
        <f>AI116</f>
        <v>187.5</v>
      </c>
      <c r="AO116" s="55"/>
      <c r="AP116" s="55"/>
      <c r="AR116" s="46"/>
      <c r="AS116" s="55"/>
      <c r="AV116" s="35">
        <f>AM116-AI116</f>
        <v>0</v>
      </c>
    </row>
    <row r="117" s="35" customFormat="1" ht="44" customHeight="1" spans="1:52">
      <c r="A117" s="46" t="s">
        <v>382</v>
      </c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>
        <v>1</v>
      </c>
      <c r="Q117" s="46"/>
      <c r="R117" s="46"/>
      <c r="S117" s="46"/>
      <c r="T117" s="46">
        <v>2</v>
      </c>
      <c r="U117" s="46"/>
      <c r="V117" s="46"/>
      <c r="W117" s="46"/>
      <c r="X117" s="46"/>
      <c r="Y117" s="46"/>
      <c r="Z117" s="46"/>
      <c r="AA117" s="46"/>
      <c r="AB117" s="46"/>
      <c r="AC117" s="46"/>
      <c r="AD117" s="46"/>
      <c r="AE117" s="46"/>
      <c r="AF117" s="46"/>
      <c r="AG117" s="46">
        <f t="shared" si="22"/>
        <v>3</v>
      </c>
      <c r="AH117" s="61">
        <v>25</v>
      </c>
      <c r="AI117" s="54">
        <f t="shared" si="23"/>
        <v>75</v>
      </c>
      <c r="AL117" s="58" t="s">
        <v>382</v>
      </c>
      <c r="AM117" s="55">
        <f>AI117</f>
        <v>75</v>
      </c>
      <c r="AO117" s="55"/>
      <c r="AP117" s="55"/>
      <c r="AR117" s="46"/>
      <c r="AS117" s="55"/>
      <c r="AV117" s="35">
        <f>AM117-AI117</f>
        <v>0</v>
      </c>
    </row>
    <row r="118" s="35" customFormat="1" ht="44" customHeight="1" spans="1:52">
      <c r="A118" s="64" t="s">
        <v>464</v>
      </c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>
        <v>8</v>
      </c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  <c r="AD118" s="46"/>
      <c r="AE118" s="46"/>
      <c r="AF118" s="46"/>
      <c r="AG118" s="46">
        <f t="shared" si="22"/>
        <v>8</v>
      </c>
      <c r="AH118" s="61">
        <v>40</v>
      </c>
      <c r="AI118" s="54">
        <f t="shared" si="23"/>
        <v>320</v>
      </c>
      <c r="AL118" s="63"/>
      <c r="AM118" s="55"/>
      <c r="AO118" s="62" t="s">
        <v>382</v>
      </c>
      <c r="AP118" s="55">
        <f>AI118</f>
        <v>320</v>
      </c>
      <c r="AR118" s="46"/>
      <c r="AS118" s="55"/>
      <c r="AX118" s="35">
        <f>AP118-AI118</f>
        <v>0</v>
      </c>
    </row>
    <row r="119" s="35" customFormat="1" ht="44" customHeight="1" spans="1:52">
      <c r="A119" s="46" t="s">
        <v>385</v>
      </c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>
        <v>1</v>
      </c>
      <c r="W119" s="46">
        <v>3</v>
      </c>
      <c r="X119" s="46"/>
      <c r="Y119" s="46"/>
      <c r="Z119" s="46">
        <v>3.5</v>
      </c>
      <c r="AA119" s="46">
        <v>3.5</v>
      </c>
      <c r="AB119" s="46">
        <v>2</v>
      </c>
      <c r="AC119" s="46">
        <v>1.5</v>
      </c>
      <c r="AD119" s="46">
        <v>1</v>
      </c>
      <c r="AE119" s="46"/>
      <c r="AF119" s="46"/>
      <c r="AG119" s="46">
        <f t="shared" si="22"/>
        <v>15.5</v>
      </c>
      <c r="AH119" s="61">
        <v>25</v>
      </c>
      <c r="AI119" s="54">
        <f t="shared" si="23"/>
        <v>387.5</v>
      </c>
      <c r="AL119" s="46" t="s">
        <v>385</v>
      </c>
      <c r="AM119" s="55">
        <f>AI119</f>
        <v>387.5</v>
      </c>
      <c r="AO119" s="55"/>
      <c r="AP119" s="55"/>
      <c r="AR119" s="46"/>
      <c r="AS119" s="55"/>
      <c r="AV119" s="35">
        <f>AM119-AI119</f>
        <v>0</v>
      </c>
    </row>
    <row r="120" s="35" customFormat="1" ht="44" customHeight="1" spans="1:52">
      <c r="A120" s="64" t="s">
        <v>465</v>
      </c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>
        <v>2</v>
      </c>
      <c r="Y120" s="46"/>
      <c r="Z120" s="46"/>
      <c r="AA120" s="46"/>
      <c r="AB120" s="46"/>
      <c r="AC120" s="46"/>
      <c r="AD120" s="46"/>
      <c r="AE120" s="46"/>
      <c r="AF120" s="46"/>
      <c r="AG120" s="46">
        <f t="shared" si="22"/>
        <v>2</v>
      </c>
      <c r="AH120" s="61">
        <v>40</v>
      </c>
      <c r="AI120" s="54">
        <f t="shared" si="23"/>
        <v>80</v>
      </c>
      <c r="AL120" s="63"/>
      <c r="AM120" s="55"/>
      <c r="AO120" s="64" t="s">
        <v>385</v>
      </c>
      <c r="AP120" s="55">
        <f>AI120</f>
        <v>80</v>
      </c>
      <c r="AR120" s="46"/>
      <c r="AS120" s="55"/>
      <c r="AX120" s="35">
        <f>AP120-AI120</f>
        <v>0</v>
      </c>
    </row>
    <row r="121" s="35" customFormat="1" ht="44" customHeight="1" spans="1:52">
      <c r="A121" s="46" t="s">
        <v>273</v>
      </c>
      <c r="B121" s="46"/>
      <c r="C121" s="46"/>
      <c r="D121" s="46"/>
      <c r="E121" s="46"/>
      <c r="F121" s="46">
        <v>8</v>
      </c>
      <c r="G121" s="46"/>
      <c r="H121" s="46">
        <v>1</v>
      </c>
      <c r="I121" s="46"/>
      <c r="J121" s="46">
        <v>1</v>
      </c>
      <c r="K121" s="46"/>
      <c r="L121" s="46"/>
      <c r="M121" s="46"/>
      <c r="N121" s="46">
        <v>2</v>
      </c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>
        <v>2</v>
      </c>
      <c r="AA121" s="46"/>
      <c r="AB121" s="46"/>
      <c r="AC121" s="46">
        <v>3</v>
      </c>
      <c r="AD121" s="46"/>
      <c r="AE121" s="46">
        <v>7.5</v>
      </c>
      <c r="AF121" s="46"/>
      <c r="AG121" s="46">
        <f t="shared" si="22"/>
        <v>24.5</v>
      </c>
      <c r="AH121" s="61">
        <v>21.72</v>
      </c>
      <c r="AI121" s="54">
        <f t="shared" si="23"/>
        <v>532.14</v>
      </c>
      <c r="AL121" s="46" t="s">
        <v>273</v>
      </c>
      <c r="AM121" s="55">
        <f t="shared" ref="AM121:AM128" si="28">AI121</f>
        <v>532.14</v>
      </c>
      <c r="AO121" s="46"/>
      <c r="AP121" s="55"/>
      <c r="AR121" s="46"/>
      <c r="AS121" s="55"/>
      <c r="AV121" s="35">
        <f t="shared" ref="AV121:AV128" si="29">AM121-AI121</f>
        <v>0</v>
      </c>
    </row>
    <row r="122" s="35" customFormat="1" ht="44" customHeight="1" spans="1:52">
      <c r="A122" s="46" t="s">
        <v>266</v>
      </c>
      <c r="B122" s="46"/>
      <c r="C122" s="46"/>
      <c r="D122" s="46"/>
      <c r="E122" s="46"/>
      <c r="F122" s="46"/>
      <c r="G122" s="46">
        <v>1</v>
      </c>
      <c r="H122" s="46">
        <v>2</v>
      </c>
      <c r="I122" s="46">
        <v>2</v>
      </c>
      <c r="J122" s="46">
        <v>1</v>
      </c>
      <c r="K122" s="46"/>
      <c r="L122" s="46">
        <v>1</v>
      </c>
      <c r="M122" s="46">
        <v>1</v>
      </c>
      <c r="N122" s="46">
        <v>1</v>
      </c>
      <c r="O122" s="46">
        <v>1.5</v>
      </c>
      <c r="P122" s="71"/>
      <c r="Q122" s="46"/>
      <c r="R122" s="46"/>
      <c r="S122" s="46">
        <v>1</v>
      </c>
      <c r="T122" s="46">
        <v>2</v>
      </c>
      <c r="U122" s="46">
        <v>1</v>
      </c>
      <c r="V122" s="46">
        <v>1</v>
      </c>
      <c r="W122" s="46">
        <v>1</v>
      </c>
      <c r="X122" s="46"/>
      <c r="Y122" s="46"/>
      <c r="Z122" s="46">
        <v>2</v>
      </c>
      <c r="AA122" s="46">
        <v>1.5</v>
      </c>
      <c r="AB122" s="46">
        <v>1.5</v>
      </c>
      <c r="AC122" s="46">
        <v>1.5</v>
      </c>
      <c r="AD122" s="46">
        <v>2</v>
      </c>
      <c r="AE122" s="46"/>
      <c r="AF122" s="46"/>
      <c r="AG122" s="46">
        <f t="shared" si="22"/>
        <v>25</v>
      </c>
      <c r="AH122" s="61">
        <v>21.72</v>
      </c>
      <c r="AI122" s="54">
        <f t="shared" si="23"/>
        <v>543</v>
      </c>
      <c r="AL122" s="46" t="s">
        <v>266</v>
      </c>
      <c r="AM122" s="55">
        <f t="shared" si="28"/>
        <v>543</v>
      </c>
      <c r="AO122" s="46"/>
      <c r="AP122" s="55"/>
      <c r="AR122" s="46"/>
      <c r="AS122" s="55"/>
      <c r="AV122" s="35">
        <f t="shared" si="29"/>
        <v>0</v>
      </c>
    </row>
    <row r="123" s="35" customFormat="1" ht="44" customHeight="1" spans="1:52">
      <c r="A123" s="46" t="s">
        <v>265</v>
      </c>
      <c r="B123" s="46"/>
      <c r="C123" s="46"/>
      <c r="D123" s="46"/>
      <c r="E123" s="46"/>
      <c r="F123" s="46"/>
      <c r="G123" s="46"/>
      <c r="H123" s="46">
        <v>1</v>
      </c>
      <c r="I123" s="46">
        <v>2</v>
      </c>
      <c r="J123" s="46">
        <v>2</v>
      </c>
      <c r="K123" s="46"/>
      <c r="L123" s="46">
        <v>1</v>
      </c>
      <c r="M123" s="46">
        <v>1</v>
      </c>
      <c r="N123" s="46"/>
      <c r="O123" s="46"/>
      <c r="P123" s="46"/>
      <c r="Q123" s="46"/>
      <c r="R123" s="46"/>
      <c r="S123" s="46">
        <v>1</v>
      </c>
      <c r="T123" s="46">
        <v>1</v>
      </c>
      <c r="U123" s="46">
        <v>1</v>
      </c>
      <c r="V123" s="46">
        <v>1.5</v>
      </c>
      <c r="W123" s="46"/>
      <c r="X123" s="46"/>
      <c r="Y123" s="46"/>
      <c r="Z123" s="46">
        <v>2</v>
      </c>
      <c r="AA123" s="46">
        <v>2</v>
      </c>
      <c r="AB123" s="46">
        <v>2</v>
      </c>
      <c r="AC123" s="46">
        <v>1.5</v>
      </c>
      <c r="AD123" s="46"/>
      <c r="AE123" s="46"/>
      <c r="AF123" s="46"/>
      <c r="AG123" s="46">
        <f t="shared" si="22"/>
        <v>19</v>
      </c>
      <c r="AH123" s="61">
        <v>21.72</v>
      </c>
      <c r="AI123" s="54">
        <f t="shared" si="23"/>
        <v>412.68</v>
      </c>
      <c r="AL123" s="46" t="s">
        <v>265</v>
      </c>
      <c r="AM123" s="55">
        <f t="shared" si="28"/>
        <v>412.68</v>
      </c>
      <c r="AO123" s="46"/>
      <c r="AP123" s="55"/>
      <c r="AR123" s="46"/>
      <c r="AS123" s="55"/>
      <c r="AV123" s="35">
        <f t="shared" si="29"/>
        <v>0</v>
      </c>
    </row>
    <row r="124" s="35" customFormat="1" ht="44" customHeight="1" spans="1:52">
      <c r="A124" s="46" t="s">
        <v>282</v>
      </c>
      <c r="B124" s="46"/>
      <c r="C124" s="46"/>
      <c r="D124" s="46"/>
      <c r="E124" s="46"/>
      <c r="F124" s="46"/>
      <c r="G124" s="46">
        <v>1.5</v>
      </c>
      <c r="H124" s="46">
        <v>1.5</v>
      </c>
      <c r="I124" s="46">
        <v>1</v>
      </c>
      <c r="J124" s="46">
        <v>1</v>
      </c>
      <c r="K124" s="46"/>
      <c r="L124" s="46">
        <v>1</v>
      </c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  <c r="AE124" s="46"/>
      <c r="AF124" s="46"/>
      <c r="AG124" s="46">
        <f t="shared" si="22"/>
        <v>6</v>
      </c>
      <c r="AH124" s="61">
        <v>21.72</v>
      </c>
      <c r="AI124" s="54">
        <f t="shared" si="23"/>
        <v>130.32</v>
      </c>
      <c r="AL124" s="46" t="s">
        <v>282</v>
      </c>
      <c r="AM124" s="55">
        <f t="shared" si="28"/>
        <v>130.32</v>
      </c>
      <c r="AO124" s="46"/>
      <c r="AP124" s="55"/>
      <c r="AR124" s="46"/>
      <c r="AS124" s="55"/>
      <c r="AV124" s="35">
        <f t="shared" si="29"/>
        <v>0</v>
      </c>
    </row>
    <row r="125" s="35" customFormat="1" ht="44" customHeight="1" spans="1:52">
      <c r="A125" s="46" t="s">
        <v>281</v>
      </c>
      <c r="B125" s="46"/>
      <c r="C125" s="46"/>
      <c r="D125" s="46"/>
      <c r="E125" s="46">
        <v>2</v>
      </c>
      <c r="F125" s="46"/>
      <c r="G125" s="46"/>
      <c r="H125" s="46"/>
      <c r="I125" s="46">
        <v>1</v>
      </c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  <c r="AE125" s="46"/>
      <c r="AF125" s="46"/>
      <c r="AG125" s="46">
        <f t="shared" si="22"/>
        <v>3</v>
      </c>
      <c r="AH125" s="61">
        <v>21.72</v>
      </c>
      <c r="AI125" s="54">
        <f t="shared" si="23"/>
        <v>65.16</v>
      </c>
      <c r="AL125" s="46" t="s">
        <v>281</v>
      </c>
      <c r="AM125" s="55">
        <f t="shared" si="28"/>
        <v>65.16</v>
      </c>
      <c r="AO125" s="46"/>
      <c r="AP125" s="55"/>
      <c r="AR125" s="46"/>
      <c r="AS125" s="55"/>
      <c r="AV125" s="35">
        <f t="shared" si="29"/>
        <v>0</v>
      </c>
    </row>
    <row r="126" s="35" customFormat="1" ht="44" customHeight="1" spans="1:52">
      <c r="A126" s="46" t="s">
        <v>279</v>
      </c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>
        <v>9</v>
      </c>
      <c r="Z126" s="46"/>
      <c r="AA126" s="46"/>
      <c r="AB126" s="46"/>
      <c r="AC126" s="46"/>
      <c r="AD126" s="46"/>
      <c r="AE126" s="46"/>
      <c r="AF126" s="46"/>
      <c r="AG126" s="46">
        <f t="shared" si="22"/>
        <v>9</v>
      </c>
      <c r="AH126" s="61">
        <v>21.72</v>
      </c>
      <c r="AI126" s="54">
        <f t="shared" si="23"/>
        <v>195.48</v>
      </c>
      <c r="AL126" s="46" t="s">
        <v>279</v>
      </c>
      <c r="AM126" s="55">
        <f t="shared" si="28"/>
        <v>195.48</v>
      </c>
      <c r="AO126" s="46"/>
      <c r="AP126" s="55"/>
      <c r="AR126" s="46"/>
      <c r="AS126" s="55"/>
      <c r="AV126" s="35">
        <f t="shared" si="29"/>
        <v>0</v>
      </c>
    </row>
    <row r="127" ht="44" customHeight="1" spans="1:52">
      <c r="A127" s="52" t="s">
        <v>284</v>
      </c>
      <c r="B127" s="46"/>
      <c r="C127" s="46"/>
      <c r="D127" s="46"/>
      <c r="E127" s="46"/>
      <c r="F127" s="46">
        <v>3</v>
      </c>
      <c r="G127" s="46">
        <v>2</v>
      </c>
      <c r="H127" s="46">
        <v>4</v>
      </c>
      <c r="I127" s="46">
        <v>1</v>
      </c>
      <c r="J127" s="46">
        <v>5</v>
      </c>
      <c r="K127" s="46">
        <v>4</v>
      </c>
      <c r="L127" s="46">
        <v>1</v>
      </c>
      <c r="M127" s="46">
        <v>5</v>
      </c>
      <c r="N127" s="46">
        <v>1</v>
      </c>
      <c r="O127" s="46">
        <v>5</v>
      </c>
      <c r="P127" s="46">
        <v>1</v>
      </c>
      <c r="Q127" s="46"/>
      <c r="R127" s="46">
        <v>4</v>
      </c>
      <c r="S127" s="46">
        <v>1</v>
      </c>
      <c r="T127" s="46">
        <v>4</v>
      </c>
      <c r="U127" s="46">
        <v>2</v>
      </c>
      <c r="V127" s="46">
        <v>4</v>
      </c>
      <c r="W127" s="46">
        <v>2</v>
      </c>
      <c r="X127" s="46"/>
      <c r="Y127" s="46">
        <v>4</v>
      </c>
      <c r="Z127" s="46">
        <v>4</v>
      </c>
      <c r="AA127" s="46">
        <v>2</v>
      </c>
      <c r="AB127" s="46">
        <v>4</v>
      </c>
      <c r="AC127" s="46">
        <v>2</v>
      </c>
      <c r="AD127" s="46">
        <v>4</v>
      </c>
      <c r="AE127" s="46"/>
      <c r="AF127" s="46">
        <v>4</v>
      </c>
      <c r="AG127" s="46">
        <f t="shared" si="22"/>
        <v>73</v>
      </c>
      <c r="AH127" s="61">
        <v>21.72</v>
      </c>
      <c r="AI127" s="54">
        <f t="shared" si="23"/>
        <v>1585.56</v>
      </c>
      <c r="AK127" s="35"/>
      <c r="AL127" s="52" t="s">
        <v>284</v>
      </c>
      <c r="AM127" s="55">
        <f t="shared" si="28"/>
        <v>1585.56</v>
      </c>
      <c r="AN127" s="4"/>
      <c r="AO127" s="52"/>
      <c r="AP127" s="55"/>
      <c r="AQ127" s="4"/>
      <c r="AR127" s="52"/>
      <c r="AS127" s="55"/>
      <c r="AT127" s="35"/>
      <c r="AV127" s="35">
        <f t="shared" si="29"/>
        <v>0</v>
      </c>
      <c r="AX127" s="35"/>
      <c r="AZ127" s="35"/>
    </row>
    <row r="128" ht="44" customHeight="1" spans="1:52">
      <c r="A128" s="46" t="s">
        <v>283</v>
      </c>
      <c r="B128" s="46"/>
      <c r="C128" s="46"/>
      <c r="D128" s="46"/>
      <c r="E128" s="46">
        <v>3</v>
      </c>
      <c r="F128" s="46"/>
      <c r="G128" s="46">
        <v>2</v>
      </c>
      <c r="H128" s="46">
        <v>4</v>
      </c>
      <c r="I128" s="46">
        <v>1</v>
      </c>
      <c r="J128" s="46">
        <v>5</v>
      </c>
      <c r="K128" s="46">
        <v>4</v>
      </c>
      <c r="L128" s="46">
        <v>1</v>
      </c>
      <c r="M128" s="46">
        <v>5</v>
      </c>
      <c r="N128" s="46">
        <v>1</v>
      </c>
      <c r="O128" s="46">
        <v>5</v>
      </c>
      <c r="P128" s="46">
        <v>1</v>
      </c>
      <c r="Q128" s="46">
        <v>4</v>
      </c>
      <c r="R128" s="46"/>
      <c r="S128" s="46">
        <v>1</v>
      </c>
      <c r="T128" s="46">
        <v>4</v>
      </c>
      <c r="U128" s="46">
        <v>2</v>
      </c>
      <c r="V128" s="46">
        <v>4</v>
      </c>
      <c r="W128" s="46">
        <v>2</v>
      </c>
      <c r="X128" s="46">
        <v>7</v>
      </c>
      <c r="Y128" s="46">
        <v>4</v>
      </c>
      <c r="Z128" s="46">
        <v>4</v>
      </c>
      <c r="AA128" s="46">
        <v>2</v>
      </c>
      <c r="AB128" s="46">
        <v>4</v>
      </c>
      <c r="AC128" s="46">
        <v>2</v>
      </c>
      <c r="AD128" s="46">
        <v>4</v>
      </c>
      <c r="AE128" s="46">
        <v>4</v>
      </c>
      <c r="AF128" s="46"/>
      <c r="AG128" s="46">
        <f t="shared" si="22"/>
        <v>80</v>
      </c>
      <c r="AH128" s="61">
        <v>21.72</v>
      </c>
      <c r="AI128" s="54">
        <f t="shared" si="23"/>
        <v>1737.6</v>
      </c>
      <c r="AK128" s="35"/>
      <c r="AL128" s="46" t="s">
        <v>283</v>
      </c>
      <c r="AM128" s="55">
        <f t="shared" si="28"/>
        <v>1737.6</v>
      </c>
      <c r="AN128" s="4"/>
      <c r="AO128" s="46"/>
      <c r="AP128" s="55"/>
      <c r="AQ128" s="4"/>
      <c r="AR128" s="46"/>
      <c r="AS128" s="55"/>
      <c r="AT128" s="35"/>
      <c r="AV128" s="35">
        <f t="shared" si="29"/>
        <v>0</v>
      </c>
      <c r="AX128" s="35"/>
      <c r="AZ128" s="35"/>
    </row>
    <row r="129" ht="44" customHeight="1" spans="1:52">
      <c r="A129" s="71" t="s">
        <v>2</v>
      </c>
      <c r="B129" s="72">
        <f t="shared" ref="B129:AF129" si="30">SUM(B3:B128)</f>
        <v>0</v>
      </c>
      <c r="C129" s="72">
        <f t="shared" si="30"/>
        <v>0</v>
      </c>
      <c r="D129" s="72">
        <f t="shared" si="30"/>
        <v>7</v>
      </c>
      <c r="E129" s="72">
        <f t="shared" si="30"/>
        <v>23</v>
      </c>
      <c r="F129" s="72">
        <f t="shared" si="30"/>
        <v>43</v>
      </c>
      <c r="G129" s="72">
        <f t="shared" si="30"/>
        <v>60.5</v>
      </c>
      <c r="H129" s="72">
        <f t="shared" si="30"/>
        <v>72</v>
      </c>
      <c r="I129" s="72">
        <f t="shared" si="30"/>
        <v>72.5</v>
      </c>
      <c r="J129" s="72">
        <f t="shared" si="30"/>
        <v>64</v>
      </c>
      <c r="K129" s="72">
        <f t="shared" si="30"/>
        <v>153</v>
      </c>
      <c r="L129" s="72">
        <f t="shared" si="30"/>
        <v>72</v>
      </c>
      <c r="M129" s="72">
        <f t="shared" si="30"/>
        <v>88</v>
      </c>
      <c r="N129" s="72">
        <f t="shared" si="30"/>
        <v>81.5</v>
      </c>
      <c r="O129" s="72">
        <f t="shared" si="30"/>
        <v>71.5</v>
      </c>
      <c r="P129" s="72">
        <f t="shared" si="30"/>
        <v>43</v>
      </c>
      <c r="Q129" s="72">
        <f t="shared" si="30"/>
        <v>113.5</v>
      </c>
      <c r="R129" s="72">
        <f t="shared" si="30"/>
        <v>112.5</v>
      </c>
      <c r="S129" s="72">
        <f t="shared" si="30"/>
        <v>85</v>
      </c>
      <c r="T129" s="72">
        <f t="shared" si="30"/>
        <v>96</v>
      </c>
      <c r="U129" s="72">
        <f t="shared" si="30"/>
        <v>88</v>
      </c>
      <c r="V129" s="72">
        <f t="shared" si="30"/>
        <v>102.5</v>
      </c>
      <c r="W129" s="72">
        <f t="shared" si="30"/>
        <v>60</v>
      </c>
      <c r="X129" s="72">
        <f t="shared" si="30"/>
        <v>142.5</v>
      </c>
      <c r="Y129" s="72">
        <f t="shared" si="30"/>
        <v>150.5</v>
      </c>
      <c r="Z129" s="72">
        <f t="shared" si="30"/>
        <v>91</v>
      </c>
      <c r="AA129" s="72">
        <f t="shared" si="30"/>
        <v>88</v>
      </c>
      <c r="AB129" s="72">
        <f t="shared" si="30"/>
        <v>99</v>
      </c>
      <c r="AC129" s="72">
        <f t="shared" si="30"/>
        <v>99</v>
      </c>
      <c r="AD129" s="72">
        <f t="shared" si="30"/>
        <v>55.5</v>
      </c>
      <c r="AE129" s="72">
        <f t="shared" si="30"/>
        <v>229.5</v>
      </c>
      <c r="AF129" s="72">
        <f t="shared" si="30"/>
        <v>78.5</v>
      </c>
      <c r="AG129" s="46">
        <f t="shared" si="22"/>
        <v>2542</v>
      </c>
      <c r="AH129" s="72" t="s">
        <v>34</v>
      </c>
      <c r="AI129" s="54">
        <f>SUM(AI3:AI128)</f>
        <v>77486.94</v>
      </c>
      <c r="AK129" s="35"/>
      <c r="AL129" s="52" t="s">
        <v>2</v>
      </c>
      <c r="AM129" s="55">
        <f>SUM(AM3:AM128)</f>
        <v>38226.94</v>
      </c>
      <c r="AN129" s="55"/>
      <c r="AO129" s="52" t="s">
        <v>2</v>
      </c>
      <c r="AP129" s="55">
        <f>SUM(AP3:AP128)</f>
        <v>39260</v>
      </c>
      <c r="AQ129" s="55"/>
      <c r="AR129" s="52" t="s">
        <v>2</v>
      </c>
      <c r="AS129" s="55">
        <f>SUM(AS3:AS128)</f>
        <v>0</v>
      </c>
      <c r="AT129" s="35"/>
      <c r="AV129" s="35">
        <f>SUM(AV3:AV128)</f>
        <v>0</v>
      </c>
      <c r="AW129" s="35"/>
      <c r="AX129" s="35">
        <f>SUM(AX3:AX128)</f>
        <v>0</v>
      </c>
      <c r="AY129" s="35"/>
      <c r="AZ129" s="35">
        <f>SUM(AZ3:AZ128)</f>
        <v>0</v>
      </c>
    </row>
    <row r="130" customHeight="1" spans="1:52">
      <c r="AR130" s="73">
        <f>AM129+AP129+AS129</f>
        <v>77486.94</v>
      </c>
      <c r="AX130" s="5">
        <f>AV129+AX129+AZ129</f>
        <v>0</v>
      </c>
    </row>
    <row r="131" s="36" customFormat="1" customHeight="1" spans="1:52">
      <c r="A131" s="74" t="s">
        <v>466</v>
      </c>
      <c r="B131" s="74"/>
      <c r="C131" s="74"/>
      <c r="D131" s="75"/>
      <c r="E131" s="75"/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75"/>
      <c r="Y131" s="75"/>
      <c r="Z131" s="75"/>
      <c r="AA131" s="75"/>
      <c r="AB131" s="75"/>
      <c r="AC131" s="75"/>
      <c r="AD131" s="75"/>
      <c r="AE131" s="75"/>
      <c r="AF131" s="75"/>
      <c r="AG131" s="75"/>
      <c r="AH131" s="75"/>
      <c r="AI131" s="76"/>
      <c r="AJ131" s="75"/>
      <c r="AK131" s="75"/>
      <c r="AL131" s="74"/>
      <c r="AM131" s="75"/>
      <c r="AN131" s="75"/>
      <c r="AO131" s="74"/>
      <c r="AP131" s="75"/>
      <c r="AQ131" s="75"/>
      <c r="AR131" s="77">
        <f>AR130-AI129</f>
        <v>0</v>
      </c>
      <c r="AV131" s="78">
        <f>(AV129+AX129+AZ129)+AI129</f>
        <v>77486.94</v>
      </c>
    </row>
  </sheetData>
  <autoFilter xmlns:etc="http://www.wps.cn/officeDocument/2017/etCustomData" ref="A2:BV131" etc:filterBottomFollowUsedRange="0">
    <extLst/>
  </autoFilter>
  <mergeCells count="1">
    <mergeCell ref="A1:AE1"/>
  </mergeCells>
  <conditionalFormatting sqref="AL2">
    <cfRule type="duplicateValues" dxfId="1" priority="1054"/>
  </conditionalFormatting>
  <conditionalFormatting sqref="AO2">
    <cfRule type="duplicateValues" dxfId="1" priority="1055"/>
  </conditionalFormatting>
  <conditionalFormatting sqref="AR2">
    <cfRule type="duplicateValues" dxfId="1" priority="1052"/>
  </conditionalFormatting>
  <conditionalFormatting sqref="AO4">
    <cfRule type="duplicateValues" dxfId="1" priority="10"/>
  </conditionalFormatting>
  <conditionalFormatting sqref="AL7">
    <cfRule type="duplicateValues" dxfId="1" priority="3"/>
  </conditionalFormatting>
  <conditionalFormatting sqref="AO7">
    <cfRule type="duplicateValues" dxfId="1" priority="2"/>
  </conditionalFormatting>
  <conditionalFormatting sqref="AL21">
    <cfRule type="duplicateValues" dxfId="1" priority="331"/>
  </conditionalFormatting>
  <conditionalFormatting sqref="AL27">
    <cfRule type="duplicateValues" dxfId="1" priority="329"/>
  </conditionalFormatting>
  <conditionalFormatting sqref="AO30">
    <cfRule type="duplicateValues" dxfId="1" priority="39"/>
  </conditionalFormatting>
  <conditionalFormatting sqref="AL33">
    <cfRule type="duplicateValues" dxfId="1" priority="325"/>
  </conditionalFormatting>
  <conditionalFormatting sqref="AO34">
    <cfRule type="duplicateValues" dxfId="1" priority="238"/>
  </conditionalFormatting>
  <conditionalFormatting sqref="AO38">
    <cfRule type="duplicateValues" dxfId="1" priority="125"/>
  </conditionalFormatting>
  <conditionalFormatting sqref="AL39">
    <cfRule type="duplicateValues" dxfId="1" priority="319"/>
  </conditionalFormatting>
  <conditionalFormatting sqref="AO40">
    <cfRule type="duplicateValues" dxfId="1" priority="234"/>
  </conditionalFormatting>
  <conditionalFormatting sqref="AL43">
    <cfRule type="duplicateValues" dxfId="1" priority="317"/>
  </conditionalFormatting>
  <conditionalFormatting sqref="AO44">
    <cfRule type="duplicateValues" dxfId="1" priority="232"/>
  </conditionalFormatting>
  <conditionalFormatting sqref="AL45">
    <cfRule type="duplicateValues" dxfId="1" priority="313"/>
  </conditionalFormatting>
  <conditionalFormatting sqref="AL46">
    <cfRule type="duplicateValues" dxfId="1" priority="123"/>
  </conditionalFormatting>
  <conditionalFormatting sqref="AO46">
    <cfRule type="duplicateValues" dxfId="1" priority="121"/>
  </conditionalFormatting>
  <conditionalFormatting sqref="AR47">
    <cfRule type="duplicateValues" dxfId="1" priority="147"/>
  </conditionalFormatting>
  <conditionalFormatting sqref="AO48">
    <cfRule type="duplicateValues" dxfId="1" priority="228"/>
  </conditionalFormatting>
  <conditionalFormatting sqref="AL49">
    <cfRule type="duplicateValues" dxfId="1" priority="311"/>
  </conditionalFormatting>
  <conditionalFormatting sqref="AO50">
    <cfRule type="duplicateValues" dxfId="1" priority="226"/>
  </conditionalFormatting>
  <conditionalFormatting sqref="AO52">
    <cfRule type="duplicateValues" dxfId="1" priority="224"/>
  </conditionalFormatting>
  <conditionalFormatting sqref="AO53">
    <cfRule type="duplicateValues" dxfId="1" priority="220"/>
  </conditionalFormatting>
  <conditionalFormatting sqref="AL57">
    <cfRule type="duplicateValues" dxfId="1" priority="307"/>
  </conditionalFormatting>
  <conditionalFormatting sqref="AO62">
    <cfRule type="duplicateValues" dxfId="1" priority="215"/>
  </conditionalFormatting>
  <conditionalFormatting sqref="AL63">
    <cfRule type="duplicateValues" dxfId="1" priority="303"/>
  </conditionalFormatting>
  <conditionalFormatting sqref="AL64">
    <cfRule type="duplicateValues" dxfId="1" priority="46"/>
  </conditionalFormatting>
  <conditionalFormatting sqref="AO64">
    <cfRule type="duplicateValues" dxfId="1" priority="44"/>
  </conditionalFormatting>
  <conditionalFormatting sqref="AO68">
    <cfRule type="duplicateValues" dxfId="1" priority="4"/>
  </conditionalFormatting>
  <conditionalFormatting sqref="AL72">
    <cfRule type="duplicateValues" dxfId="1" priority="508"/>
  </conditionalFormatting>
  <conditionalFormatting sqref="AO72">
    <cfRule type="duplicateValues" dxfId="1" priority="209"/>
  </conditionalFormatting>
  <conditionalFormatting sqref="AL74">
    <cfRule type="duplicateValues" dxfId="1" priority="36"/>
  </conditionalFormatting>
  <conditionalFormatting sqref="AO74">
    <cfRule type="duplicateValues" dxfId="1" priority="34"/>
  </conditionalFormatting>
  <conditionalFormatting sqref="AL77">
    <cfRule type="duplicateValues" dxfId="1" priority="90"/>
  </conditionalFormatting>
  <conditionalFormatting sqref="AL78">
    <cfRule type="duplicateValues" dxfId="1" priority="9"/>
  </conditionalFormatting>
  <conditionalFormatting sqref="AO78">
    <cfRule type="duplicateValues" dxfId="1" priority="31"/>
  </conditionalFormatting>
  <conditionalFormatting sqref="AL86">
    <cfRule type="duplicateValues" dxfId="1" priority="291"/>
  </conditionalFormatting>
  <conditionalFormatting sqref="AL87">
    <cfRule type="duplicateValues" dxfId="1" priority="14"/>
  </conditionalFormatting>
  <conditionalFormatting sqref="AO87">
    <cfRule type="duplicateValues" dxfId="1" priority="12"/>
  </conditionalFormatting>
  <conditionalFormatting sqref="AL88">
    <cfRule type="duplicateValues" dxfId="1" priority="289"/>
  </conditionalFormatting>
  <conditionalFormatting sqref="AO89">
    <cfRule type="duplicateValues" dxfId="1" priority="197"/>
  </conditionalFormatting>
  <conditionalFormatting sqref="AL90">
    <cfRule type="duplicateValues" dxfId="1" priority="287"/>
  </conditionalFormatting>
  <conditionalFormatting sqref="AL96">
    <cfRule type="duplicateValues" dxfId="1" priority="59"/>
  </conditionalFormatting>
  <conditionalFormatting sqref="AO96">
    <cfRule type="duplicateValues" dxfId="1" priority="57"/>
  </conditionalFormatting>
  <conditionalFormatting sqref="A99">
    <cfRule type="duplicateValues" dxfId="1" priority="752"/>
  </conditionalFormatting>
  <conditionalFormatting sqref="AR99">
    <cfRule type="duplicateValues" dxfId="1" priority="638"/>
  </conditionalFormatting>
  <conditionalFormatting sqref="AL100">
    <cfRule type="duplicateValues" dxfId="1" priority="269"/>
  </conditionalFormatting>
  <conditionalFormatting sqref="AO100">
    <cfRule type="duplicateValues" dxfId="1" priority="491"/>
  </conditionalFormatting>
  <conditionalFormatting sqref="AL101">
    <cfRule type="duplicateValues" dxfId="1" priority="51"/>
  </conditionalFormatting>
  <conditionalFormatting sqref="AO101">
    <cfRule type="duplicateValues" dxfId="1" priority="50"/>
  </conditionalFormatting>
  <conditionalFormatting sqref="AL102">
    <cfRule type="duplicateValues" dxfId="1" priority="268"/>
  </conditionalFormatting>
  <conditionalFormatting sqref="AL103">
    <cfRule type="duplicateValues" dxfId="1" priority="469"/>
  </conditionalFormatting>
  <conditionalFormatting sqref="AO103">
    <cfRule type="duplicateValues" dxfId="1" priority="40"/>
  </conditionalFormatting>
  <conditionalFormatting sqref="AL104">
    <cfRule type="duplicateValues" dxfId="1" priority="267"/>
  </conditionalFormatting>
  <conditionalFormatting sqref="AO104">
    <cfRule type="duplicateValues" dxfId="1" priority="473"/>
  </conditionalFormatting>
  <conditionalFormatting sqref="AL105">
    <cfRule type="duplicateValues" dxfId="1" priority="20"/>
  </conditionalFormatting>
  <conditionalFormatting sqref="AO105">
    <cfRule type="duplicateValues" dxfId="1" priority="19"/>
  </conditionalFormatting>
  <conditionalFormatting sqref="A106">
    <cfRule type="duplicateValues" dxfId="1" priority="468"/>
  </conditionalFormatting>
  <conditionalFormatting sqref="AL106">
    <cfRule type="duplicateValues" dxfId="1" priority="18"/>
  </conditionalFormatting>
  <conditionalFormatting sqref="AR106">
    <cfRule type="duplicateValues" dxfId="1" priority="467"/>
  </conditionalFormatting>
  <conditionalFormatting sqref="A107">
    <cfRule type="duplicateValues" dxfId="1" priority="462"/>
  </conditionalFormatting>
  <conditionalFormatting sqref="AL107">
    <cfRule type="duplicateValues" dxfId="1" priority="112"/>
  </conditionalFormatting>
  <conditionalFormatting sqref="AO107">
    <cfRule type="duplicateValues" dxfId="1" priority="111"/>
  </conditionalFormatting>
  <conditionalFormatting sqref="AR107">
    <cfRule type="duplicateValues" dxfId="1" priority="461"/>
  </conditionalFormatting>
  <conditionalFormatting sqref="AL108">
    <cfRule type="duplicateValues" dxfId="1" priority="264"/>
  </conditionalFormatting>
  <conditionalFormatting sqref="AO108">
    <cfRule type="duplicateValues" dxfId="1" priority="453"/>
  </conditionalFormatting>
  <conditionalFormatting sqref="AL109">
    <cfRule type="duplicateValues" dxfId="1" priority="6"/>
  </conditionalFormatting>
  <conditionalFormatting sqref="AO109">
    <cfRule type="duplicateValues" dxfId="1" priority="5"/>
  </conditionalFormatting>
  <conditionalFormatting sqref="AL110">
    <cfRule type="duplicateValues" dxfId="1" priority="262"/>
  </conditionalFormatting>
  <conditionalFormatting sqref="AO110">
    <cfRule type="duplicateValues" dxfId="1" priority="441"/>
  </conditionalFormatting>
  <conditionalFormatting sqref="AL111">
    <cfRule type="duplicateValues" dxfId="1" priority="439"/>
  </conditionalFormatting>
  <conditionalFormatting sqref="AO111">
    <cfRule type="duplicateValues" dxfId="1" priority="174"/>
  </conditionalFormatting>
  <conditionalFormatting sqref="A112">
    <cfRule type="duplicateValues" dxfId="1" priority="438"/>
  </conditionalFormatting>
  <conditionalFormatting sqref="AL112">
    <cfRule type="duplicateValues" dxfId="1" priority="261"/>
  </conditionalFormatting>
  <conditionalFormatting sqref="AO112">
    <cfRule type="duplicateValues" dxfId="1" priority="435"/>
  </conditionalFormatting>
  <conditionalFormatting sqref="AL114">
    <cfRule type="duplicateValues" dxfId="1" priority="49"/>
  </conditionalFormatting>
  <conditionalFormatting sqref="AO114">
    <cfRule type="duplicateValues" dxfId="1" priority="48"/>
  </conditionalFormatting>
  <conditionalFormatting sqref="AL115">
    <cfRule type="duplicateValues" dxfId="1" priority="71"/>
  </conditionalFormatting>
  <conditionalFormatting sqref="AO115">
    <cfRule type="duplicateValues" dxfId="1" priority="69"/>
  </conditionalFormatting>
  <conditionalFormatting sqref="AL119">
    <cfRule type="duplicateValues" dxfId="1" priority="22"/>
  </conditionalFormatting>
  <conditionalFormatting sqref="AO120">
    <cfRule type="duplicateValues" dxfId="1" priority="21"/>
  </conditionalFormatting>
  <conditionalFormatting sqref="AL123">
    <cfRule type="duplicateValues" dxfId="1" priority="84"/>
  </conditionalFormatting>
  <conditionalFormatting sqref="AL124">
    <cfRule type="duplicateValues" dxfId="1" priority="85"/>
  </conditionalFormatting>
  <conditionalFormatting sqref="AL125">
    <cfRule type="duplicateValues" dxfId="1" priority="41"/>
  </conditionalFormatting>
  <conditionalFormatting sqref="AL126">
    <cfRule type="duplicateValues" dxfId="1" priority="1"/>
  </conditionalFormatting>
  <conditionalFormatting sqref="AO129">
    <cfRule type="duplicateValues" dxfId="1" priority="840"/>
  </conditionalFormatting>
  <conditionalFormatting sqref="AR129">
    <cfRule type="duplicateValues" dxfId="1" priority="838"/>
  </conditionalFormatting>
  <conditionalFormatting sqref="AG131">
    <cfRule type="expression" priority="1059">
      <formula>WEEKDAY(#REF!,2)&gt;5</formula>
    </cfRule>
  </conditionalFormatting>
  <conditionalFormatting sqref="AH131">
    <cfRule type="expression" priority="1058">
      <formula>WEEKDAY(#REF!,2)&gt;5</formula>
    </cfRule>
  </conditionalFormatting>
  <conditionalFormatting sqref="A72:A85">
    <cfRule type="duplicateValues" dxfId="1" priority="1027"/>
  </conditionalFormatting>
  <conditionalFormatting sqref="A100:A101">
    <cfRule type="duplicateValues" dxfId="1" priority="824"/>
  </conditionalFormatting>
  <conditionalFormatting sqref="A104:A105">
    <cfRule type="duplicateValues" dxfId="1" priority="476"/>
  </conditionalFormatting>
  <conditionalFormatting sqref="A108:A109">
    <cfRule type="duplicateValues" dxfId="1" priority="456"/>
  </conditionalFormatting>
  <conditionalFormatting sqref="A110:A111">
    <cfRule type="duplicateValues" dxfId="1" priority="444"/>
  </conditionalFormatting>
  <conditionalFormatting sqref="A115:A120">
    <cfRule type="duplicateValues" dxfId="1" priority="414"/>
  </conditionalFormatting>
  <conditionalFormatting sqref="AL8:AL11">
    <cfRule type="duplicateValues" dxfId="1" priority="344"/>
  </conditionalFormatting>
  <conditionalFormatting sqref="AL12:AL14">
    <cfRule type="duplicateValues" dxfId="1" priority="340"/>
  </conditionalFormatting>
  <conditionalFormatting sqref="AL19:AL20">
    <cfRule type="duplicateValues" dxfId="1" priority="335"/>
  </conditionalFormatting>
  <conditionalFormatting sqref="AL35:AL36">
    <cfRule type="duplicateValues" dxfId="1" priority="38"/>
  </conditionalFormatting>
  <conditionalFormatting sqref="AL37:AL38">
    <cfRule type="duplicateValues" dxfId="1" priority="321"/>
  </conditionalFormatting>
  <conditionalFormatting sqref="AL65:AL71">
    <cfRule type="duplicateValues" dxfId="1" priority="301"/>
  </conditionalFormatting>
  <conditionalFormatting sqref="AL83:AL85">
    <cfRule type="duplicateValues" dxfId="1" priority="29"/>
  </conditionalFormatting>
  <conditionalFormatting sqref="AL121:AL122">
    <cfRule type="duplicateValues" dxfId="1" priority="502"/>
  </conditionalFormatting>
  <conditionalFormatting sqref="AO28:AO29">
    <cfRule type="duplicateValues" dxfId="1" priority="240"/>
  </conditionalFormatting>
  <conditionalFormatting sqref="AO91:AO93">
    <cfRule type="duplicateValues" dxfId="1" priority="195"/>
  </conditionalFormatting>
  <conditionalFormatting sqref="AR72:AR85">
    <cfRule type="duplicateValues" dxfId="1" priority="650"/>
  </conditionalFormatting>
  <conditionalFormatting sqref="AR100:AR101">
    <cfRule type="duplicateValues" dxfId="1" priority="644"/>
  </conditionalFormatting>
  <conditionalFormatting sqref="AR104:AR105">
    <cfRule type="duplicateValues" dxfId="1" priority="475"/>
  </conditionalFormatting>
  <conditionalFormatting sqref="AR108:AR109">
    <cfRule type="duplicateValues" dxfId="1" priority="455"/>
  </conditionalFormatting>
  <conditionalFormatting sqref="AR110:AR111">
    <cfRule type="duplicateValues" dxfId="1" priority="443"/>
  </conditionalFormatting>
  <conditionalFormatting sqref="AR112:AR114">
    <cfRule type="duplicateValues" dxfId="1" priority="437"/>
  </conditionalFormatting>
  <conditionalFormatting sqref="AR115:AR120">
    <cfRule type="duplicateValues" dxfId="1" priority="413"/>
  </conditionalFormatting>
  <conditionalFormatting sqref="BF72:BF85">
    <cfRule type="duplicateValues" dxfId="1" priority="1023"/>
  </conditionalFormatting>
  <conditionalFormatting sqref="A1:A4 A8:A14 A19:A29 A33:A46 A48:A53 A57:A71 A86:A94 A127:A130 A132:A1048576">
    <cfRule type="duplicateValues" dxfId="1" priority="1061"/>
  </conditionalFormatting>
  <conditionalFormatting sqref="A1:A4 A8:A14 A19:A29 A33:A46 A48:A53 A57:A94 A127:A1048576">
    <cfRule type="duplicateValues" dxfId="1" priority="997"/>
  </conditionalFormatting>
  <conditionalFormatting sqref="AL1 AL130 AL132:AL1048576">
    <cfRule type="duplicateValues" dxfId="1" priority="1057"/>
  </conditionalFormatting>
  <conditionalFormatting sqref="AO1 AO130 AO132:AO1048576">
    <cfRule type="duplicateValues" dxfId="1" priority="1056"/>
  </conditionalFormatting>
  <conditionalFormatting sqref="AL3:AL4 AL28:AL29 AL34 AL40 AL44 AL48 AL50 AL52:AL53 AL58 AL60 AL62 AL72 AL89 AL91:AL93 AL127:AL128">
    <cfRule type="duplicateValues" dxfId="1" priority="506"/>
  </conditionalFormatting>
  <conditionalFormatting sqref="AL3:AL4 AL28:AL29 AL34 AL40 AL44 AL48 AL50 AL52:AL53 AL58 AL60 AL62 AL89 AL91:AL93 AL127:AL128">
    <cfRule type="duplicateValues" dxfId="1" priority="509"/>
  </conditionalFormatting>
  <conditionalFormatting sqref="AO3 AO8:AO14 AO19:AO21 AO27 AO33 AO37 AO39 AO43 AO45 AO49 AO57 AO63 AO65:AO67 AO69:AO71 AO73 AO75 AO77 AO86 AO88 AO90 AO127:AO128">
    <cfRule type="duplicateValues" dxfId="1" priority="493"/>
  </conditionalFormatting>
  <conditionalFormatting sqref="AO3 AO8:AO14 AO19:AO21 AO27 AO33 AO37 AO39 AO43 AO45 AO49 AO57 AO63 AO65:AO67 AO69:AO71 AO86 AO88 AO90 AO127:AO128">
    <cfRule type="duplicateValues" dxfId="1" priority="496"/>
  </conditionalFormatting>
  <conditionalFormatting sqref="AR3:AR46 AR48:AR98 AR127:AR128">
    <cfRule type="duplicateValues" dxfId="1" priority="648"/>
  </conditionalFormatting>
  <conditionalFormatting sqref="AR3:AR46 AR48:AR71 AR86:AR98 AR127:AR128">
    <cfRule type="duplicateValues" dxfId="1" priority="651"/>
  </conditionalFormatting>
  <conditionalFormatting sqref="AM5:AN7">
    <cfRule type="duplicateValues" dxfId="1" priority="530"/>
  </conditionalFormatting>
  <conditionalFormatting sqref="AL16 AL18">
    <cfRule type="duplicateValues" dxfId="1" priority="43"/>
  </conditionalFormatting>
  <conditionalFormatting sqref="AO16 AO18">
    <cfRule type="duplicateValues" dxfId="1" priority="42"/>
  </conditionalFormatting>
  <conditionalFormatting sqref="AO58 AO60">
    <cfRule type="duplicateValues" dxfId="1" priority="217"/>
  </conditionalFormatting>
  <conditionalFormatting sqref="AL73 AL75">
    <cfRule type="duplicateValues" dxfId="1" priority="94"/>
  </conditionalFormatting>
  <conditionalFormatting sqref="AO73 AO75 AO77">
    <cfRule type="duplicateValues" dxfId="1" priority="495"/>
  </conditionalFormatting>
  <conditionalFormatting sqref="AL80 AL82">
    <cfRule type="duplicateValues" dxfId="1" priority="8"/>
  </conditionalFormatting>
  <conditionalFormatting sqref="AO80 AO82">
    <cfRule type="duplicateValues" dxfId="1" priority="7"/>
  </conditionalFormatting>
  <conditionalFormatting sqref="A102:A103 A121:A126">
    <cfRule type="duplicateValues" dxfId="1" priority="792"/>
  </conditionalFormatting>
  <conditionalFormatting sqref="AO102 AO121:AO126">
    <cfRule type="duplicateValues" dxfId="1" priority="489"/>
  </conditionalFormatting>
  <conditionalFormatting sqref="AR102:AR103 AR121:AR126">
    <cfRule type="duplicateValues" dxfId="1" priority="640"/>
  </conditionalFormatting>
  <conditionalFormatting sqref="AL129 AN129 AP129">
    <cfRule type="duplicateValues" dxfId="1" priority="936"/>
  </conditionalFormatting>
  <conditionalFormatting sqref="D131:H131 K131:AF131">
    <cfRule type="expression" priority="1060">
      <formula>WEEKDAY(#REF!,2)&gt;5</formula>
    </cfRule>
  </conditionalFormatting>
  <pageMargins left="0.236111111111111" right="0.0784722222222222" top="0.275" bottom="0.196527777777778" header="0.118055555555556" footer="0.0388888888888889"/>
  <pageSetup paperSize="9" scale="54" fitToHeight="0" orientation="landscape" horizontalDpi="600"/>
  <headerFooter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W47"/>
  <sheetViews>
    <sheetView zoomScale="70" zoomScaleNormal="70" workbookViewId="0">
      <pane xSplit="1" ySplit="2" topLeftCell="B24" activePane="bottomRight" state="frozen"/>
      <selection/>
      <selection pane="topRight"/>
      <selection pane="bottomLeft"/>
      <selection pane="bottomRight" activeCell="R33" sqref="R33"/>
    </sheetView>
  </sheetViews>
  <sheetFormatPr defaultColWidth="9" defaultRowHeight="35" customHeight="1"/>
  <cols>
    <col min="1" max="1" width="22.1416666666667" style="4" customWidth="1"/>
    <col min="2" max="2" width="16.0666666666667" style="5" customWidth="1"/>
    <col min="3" max="11" width="16.0666666666667" style="4" customWidth="1"/>
    <col min="17" max="19" width="18.3916666666667" customWidth="1"/>
    <col min="20" max="23" width="16.9583333333333" customWidth="1"/>
  </cols>
  <sheetData>
    <row r="1" s="1" customFormat="1" ht="49" customHeight="1" spans="1:23">
      <c r="A1" s="6" t="s">
        <v>467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="2" customFormat="1" ht="69" customHeight="1" spans="1:23">
      <c r="A2" s="8" t="s">
        <v>468</v>
      </c>
      <c r="B2" s="8" t="s">
        <v>139</v>
      </c>
      <c r="C2" s="9" t="s">
        <v>144</v>
      </c>
      <c r="D2" s="9" t="s">
        <v>141</v>
      </c>
      <c r="E2" s="9" t="s">
        <v>136</v>
      </c>
      <c r="F2" s="9" t="s">
        <v>143</v>
      </c>
      <c r="G2" s="9" t="s">
        <v>129</v>
      </c>
      <c r="H2" s="9" t="s">
        <v>205</v>
      </c>
      <c r="I2" s="9" t="s">
        <v>203</v>
      </c>
      <c r="J2" s="9" t="s">
        <v>243</v>
      </c>
      <c r="K2" s="9" t="s">
        <v>248</v>
      </c>
    </row>
    <row r="3" customHeight="1" spans="1:23">
      <c r="A3" s="10">
        <v>46143</v>
      </c>
      <c r="B3" s="9"/>
      <c r="C3" s="9"/>
      <c r="D3" s="9"/>
      <c r="E3" s="9"/>
      <c r="F3" s="9"/>
      <c r="G3" s="9"/>
      <c r="H3" s="9"/>
      <c r="I3" s="9"/>
      <c r="J3" s="9"/>
      <c r="K3" s="9"/>
      <c r="M3" s="11"/>
    </row>
    <row r="4" customHeight="1" spans="1:23">
      <c r="A4" s="10">
        <v>46144</v>
      </c>
      <c r="B4" s="9"/>
      <c r="C4" s="9"/>
      <c r="D4" s="9"/>
      <c r="E4" s="9"/>
      <c r="F4" s="9"/>
      <c r="G4" s="9"/>
      <c r="H4" s="9"/>
      <c r="I4" s="9"/>
      <c r="J4" s="9"/>
      <c r="K4" s="9"/>
      <c r="M4" s="11"/>
    </row>
    <row r="5" customHeight="1" spans="1:23">
      <c r="A5" s="10">
        <v>46145</v>
      </c>
      <c r="B5" s="9"/>
      <c r="C5" s="9"/>
      <c r="D5" s="9"/>
      <c r="E5" s="9"/>
      <c r="F5" s="9"/>
      <c r="G5" s="9"/>
      <c r="H5" s="9"/>
      <c r="I5" s="9"/>
      <c r="J5" s="9"/>
      <c r="K5" s="9"/>
      <c r="M5" s="11"/>
      <c r="Q5" s="3"/>
      <c r="R5" s="3"/>
      <c r="S5" s="3"/>
      <c r="T5" s="3"/>
      <c r="U5" s="3"/>
      <c r="V5" s="3"/>
      <c r="W5" s="3"/>
    </row>
    <row r="6" customHeight="1" spans="1:23">
      <c r="A6" s="10">
        <v>46146</v>
      </c>
      <c r="B6" s="9"/>
      <c r="C6" s="9"/>
      <c r="D6" s="9"/>
      <c r="E6" s="9"/>
      <c r="F6" s="9"/>
      <c r="G6" s="9"/>
      <c r="H6" s="9"/>
      <c r="I6" s="9"/>
      <c r="J6" s="9"/>
      <c r="K6" s="9"/>
      <c r="M6" s="11"/>
      <c r="Q6" s="3"/>
      <c r="R6" s="3"/>
      <c r="S6" s="3"/>
      <c r="T6" s="3"/>
      <c r="U6" s="3"/>
      <c r="V6" s="3"/>
      <c r="W6" s="3"/>
    </row>
    <row r="7" s="3" customFormat="1" customHeight="1" spans="1:23">
      <c r="A7" s="10">
        <v>46147</v>
      </c>
      <c r="B7" s="9"/>
      <c r="C7" s="9"/>
      <c r="D7" s="9"/>
      <c r="E7" s="9"/>
      <c r="F7" s="9"/>
      <c r="G7" s="9" t="s">
        <v>342</v>
      </c>
      <c r="H7" s="9"/>
      <c r="I7" s="9"/>
      <c r="J7" s="9"/>
      <c r="K7" s="9"/>
    </row>
    <row r="8" s="3" customFormat="1" customHeight="1" spans="1:23">
      <c r="A8" s="12">
        <v>46148</v>
      </c>
      <c r="B8" s="9"/>
      <c r="C8" s="9"/>
      <c r="D8" s="9" t="s">
        <v>342</v>
      </c>
      <c r="E8" s="9"/>
      <c r="F8" s="9" t="s">
        <v>342</v>
      </c>
      <c r="G8" s="9"/>
      <c r="H8" s="9" t="s">
        <v>372</v>
      </c>
      <c r="I8" s="9"/>
      <c r="J8" s="9"/>
      <c r="K8" s="9" t="s">
        <v>372</v>
      </c>
    </row>
    <row r="9" s="3" customFormat="1" customHeight="1" spans="1:23">
      <c r="A9" s="12">
        <v>46149</v>
      </c>
      <c r="B9" s="9"/>
      <c r="C9" s="9"/>
      <c r="D9" s="9" t="s">
        <v>342</v>
      </c>
      <c r="E9" s="9"/>
      <c r="F9" s="9" t="s">
        <v>342</v>
      </c>
      <c r="G9" s="9"/>
      <c r="H9" s="9" t="s">
        <v>372</v>
      </c>
      <c r="I9" s="9"/>
      <c r="J9" s="9"/>
      <c r="K9" s="9" t="s">
        <v>372</v>
      </c>
    </row>
    <row r="10" s="3" customFormat="1" customHeight="1" spans="1:23">
      <c r="A10" s="12">
        <v>46150</v>
      </c>
      <c r="B10" s="9"/>
      <c r="C10" s="9"/>
      <c r="D10" s="9" t="s">
        <v>342</v>
      </c>
      <c r="E10" s="9"/>
      <c r="F10" s="9" t="s">
        <v>342</v>
      </c>
      <c r="G10" s="9"/>
      <c r="H10" s="9" t="s">
        <v>372</v>
      </c>
      <c r="I10" s="9"/>
      <c r="J10" s="9"/>
      <c r="K10" s="9" t="s">
        <v>372</v>
      </c>
      <c r="M10" s="13"/>
    </row>
    <row r="11" s="3" customFormat="1" customHeight="1" spans="1:23">
      <c r="A11" s="12">
        <v>46151</v>
      </c>
      <c r="B11" s="9"/>
      <c r="C11" s="9"/>
      <c r="D11" s="9" t="s">
        <v>342</v>
      </c>
      <c r="E11" s="9"/>
      <c r="F11" s="9" t="s">
        <v>342</v>
      </c>
      <c r="G11" s="9"/>
      <c r="H11" s="9" t="s">
        <v>372</v>
      </c>
      <c r="I11" s="9"/>
      <c r="J11" s="9"/>
      <c r="K11" s="9" t="s">
        <v>372</v>
      </c>
      <c r="M11" s="13"/>
    </row>
    <row r="12" s="3" customFormat="1" customHeight="1" spans="1:23">
      <c r="A12" s="10">
        <v>46152</v>
      </c>
      <c r="B12" s="9"/>
      <c r="C12" s="9"/>
      <c r="D12" s="9"/>
      <c r="E12" s="9"/>
      <c r="F12" s="9" t="s">
        <v>342</v>
      </c>
      <c r="G12" s="9"/>
      <c r="H12" s="9" t="s">
        <v>372</v>
      </c>
      <c r="I12" s="9"/>
      <c r="J12" s="9"/>
      <c r="K12" s="9"/>
      <c r="M12" s="13"/>
    </row>
    <row r="13" s="3" customFormat="1" customHeight="1" spans="1:23">
      <c r="A13" s="12">
        <v>46153</v>
      </c>
      <c r="B13" s="9" t="s">
        <v>342</v>
      </c>
      <c r="C13" s="9"/>
      <c r="D13" s="9"/>
      <c r="E13" s="9"/>
      <c r="F13" s="9" t="s">
        <v>342</v>
      </c>
      <c r="G13" s="9"/>
      <c r="H13" s="9" t="s">
        <v>372</v>
      </c>
      <c r="I13" s="9"/>
      <c r="J13" s="9"/>
      <c r="K13" s="9" t="s">
        <v>372</v>
      </c>
      <c r="M13" s="13"/>
    </row>
    <row r="14" s="3" customFormat="1" customHeight="1" spans="1:23">
      <c r="A14" s="12">
        <v>46154</v>
      </c>
      <c r="B14" s="9" t="s">
        <v>342</v>
      </c>
      <c r="C14" s="9"/>
      <c r="D14" s="9"/>
      <c r="E14" s="9"/>
      <c r="F14" s="9" t="s">
        <v>342</v>
      </c>
      <c r="G14" s="9"/>
      <c r="H14" s="9" t="s">
        <v>372</v>
      </c>
      <c r="I14" s="9"/>
      <c r="J14" s="9"/>
      <c r="K14" s="9" t="s">
        <v>372</v>
      </c>
      <c r="M14" s="13"/>
    </row>
    <row r="15" s="3" customFormat="1" customHeight="1" spans="1:23">
      <c r="A15" s="12">
        <v>46155</v>
      </c>
      <c r="B15" s="9" t="s">
        <v>342</v>
      </c>
      <c r="C15" s="9"/>
      <c r="D15" s="9"/>
      <c r="E15" s="9"/>
      <c r="F15" s="9" t="s">
        <v>342</v>
      </c>
      <c r="G15" s="9"/>
      <c r="H15" s="9" t="s">
        <v>372</v>
      </c>
      <c r="I15" s="9"/>
      <c r="J15" s="9"/>
      <c r="K15" s="9" t="s">
        <v>372</v>
      </c>
      <c r="M15" s="13"/>
    </row>
    <row r="16" s="3" customFormat="1" customHeight="1" spans="1:23">
      <c r="A16" s="12">
        <v>46156</v>
      </c>
      <c r="B16" s="9" t="s">
        <v>342</v>
      </c>
      <c r="C16" s="9"/>
      <c r="D16" s="9"/>
      <c r="E16" s="9"/>
      <c r="F16" s="9" t="s">
        <v>342</v>
      </c>
      <c r="G16" s="9"/>
      <c r="H16" s="9" t="s">
        <v>372</v>
      </c>
      <c r="I16" s="9"/>
      <c r="J16" s="9"/>
      <c r="K16" s="9" t="s">
        <v>372</v>
      </c>
      <c r="M16" s="13"/>
    </row>
    <row r="17" s="3" customFormat="1" customHeight="1" spans="1:13">
      <c r="A17" s="12">
        <v>46157</v>
      </c>
      <c r="B17" s="9" t="s">
        <v>342</v>
      </c>
      <c r="C17" s="9"/>
      <c r="D17" s="9"/>
      <c r="E17" s="9"/>
      <c r="F17" s="9" t="s">
        <v>342</v>
      </c>
      <c r="G17" s="9"/>
      <c r="H17" s="9" t="s">
        <v>372</v>
      </c>
      <c r="I17" s="9"/>
      <c r="J17" s="9"/>
      <c r="K17" s="9" t="s">
        <v>372</v>
      </c>
      <c r="M17" s="13"/>
    </row>
    <row r="18" s="3" customFormat="1" customHeight="1" spans="1:13">
      <c r="A18" s="10">
        <v>46158</v>
      </c>
      <c r="B18" s="9"/>
      <c r="C18" s="9"/>
      <c r="D18" s="9"/>
      <c r="E18" s="9"/>
      <c r="F18" s="9"/>
      <c r="G18" s="9"/>
      <c r="H18" s="9" t="s">
        <v>372</v>
      </c>
      <c r="I18" s="9"/>
      <c r="J18" s="9"/>
      <c r="K18" s="9"/>
      <c r="M18" s="13"/>
    </row>
    <row r="19" s="3" customFormat="1" customHeight="1" spans="1:13">
      <c r="A19" s="10">
        <v>46159</v>
      </c>
      <c r="B19" s="9"/>
      <c r="C19" s="9"/>
      <c r="D19" s="9"/>
      <c r="E19" s="9"/>
      <c r="F19" s="9" t="s">
        <v>342</v>
      </c>
      <c r="G19" s="9"/>
      <c r="H19" s="9"/>
      <c r="I19" s="9"/>
      <c r="J19" s="9"/>
      <c r="K19" s="9"/>
      <c r="M19" s="14"/>
    </row>
    <row r="20" customHeight="1" spans="1:13">
      <c r="A20" s="12">
        <v>46160</v>
      </c>
      <c r="B20" s="9"/>
      <c r="C20" s="9" t="s">
        <v>342</v>
      </c>
      <c r="D20" s="9"/>
      <c r="E20" s="9" t="s">
        <v>342</v>
      </c>
      <c r="F20" s="9" t="s">
        <v>342</v>
      </c>
      <c r="G20" s="9"/>
      <c r="H20" s="9" t="s">
        <v>372</v>
      </c>
      <c r="I20" s="9"/>
      <c r="J20" s="9"/>
      <c r="K20" s="9" t="s">
        <v>372</v>
      </c>
      <c r="M20" s="14"/>
    </row>
    <row r="21" customHeight="1" spans="1:13">
      <c r="A21" s="12">
        <v>46161</v>
      </c>
      <c r="B21" s="9"/>
      <c r="C21" s="9" t="s">
        <v>342</v>
      </c>
      <c r="D21" s="9"/>
      <c r="E21" s="9" t="s">
        <v>342</v>
      </c>
      <c r="F21" s="9" t="s">
        <v>342</v>
      </c>
      <c r="G21" s="9"/>
      <c r="H21" s="9" t="s">
        <v>372</v>
      </c>
      <c r="I21" s="9"/>
      <c r="J21" s="9"/>
      <c r="K21" s="9" t="s">
        <v>372</v>
      </c>
      <c r="M21" s="14"/>
    </row>
    <row r="22" customHeight="1" spans="1:13">
      <c r="A22" s="12">
        <v>46162</v>
      </c>
      <c r="B22" s="9"/>
      <c r="C22" s="9" t="s">
        <v>342</v>
      </c>
      <c r="D22" s="9"/>
      <c r="E22" s="9" t="s">
        <v>342</v>
      </c>
      <c r="F22" s="9" t="s">
        <v>342</v>
      </c>
      <c r="G22" s="9"/>
      <c r="H22" s="9" t="s">
        <v>372</v>
      </c>
      <c r="I22" s="9"/>
      <c r="J22" s="9"/>
      <c r="K22" s="9" t="s">
        <v>372</v>
      </c>
      <c r="M22" s="14"/>
    </row>
    <row r="23" customHeight="1" spans="1:13">
      <c r="A23" s="12">
        <v>46163</v>
      </c>
      <c r="B23" s="9"/>
      <c r="C23" s="9" t="s">
        <v>342</v>
      </c>
      <c r="D23" s="9"/>
      <c r="E23" s="9" t="s">
        <v>342</v>
      </c>
      <c r="F23" s="9" t="s">
        <v>342</v>
      </c>
      <c r="G23" s="9"/>
      <c r="H23" s="9" t="s">
        <v>372</v>
      </c>
      <c r="I23" s="9"/>
      <c r="J23" s="9"/>
      <c r="K23" s="9" t="s">
        <v>372</v>
      </c>
      <c r="M23" s="14"/>
    </row>
    <row r="24" customHeight="1" spans="1:13">
      <c r="A24" s="12">
        <v>46164</v>
      </c>
      <c r="B24" s="9"/>
      <c r="C24" s="9"/>
      <c r="D24" s="9"/>
      <c r="E24" s="9" t="s">
        <v>342</v>
      </c>
      <c r="F24" s="9" t="s">
        <v>342</v>
      </c>
      <c r="G24" s="9"/>
      <c r="H24" s="9" t="s">
        <v>372</v>
      </c>
      <c r="I24" s="9"/>
      <c r="J24" s="9"/>
      <c r="K24" s="9" t="s">
        <v>372</v>
      </c>
      <c r="M24" s="15"/>
    </row>
    <row r="25" customHeight="1" spans="1:13">
      <c r="A25" s="10">
        <v>46165</v>
      </c>
      <c r="B25" s="9"/>
      <c r="C25" s="9"/>
      <c r="D25" s="9"/>
      <c r="E25" s="9"/>
      <c r="F25" s="9"/>
      <c r="G25" s="9"/>
      <c r="H25" s="9" t="s">
        <v>372</v>
      </c>
      <c r="I25" s="9"/>
      <c r="J25" s="9"/>
      <c r="K25" s="9" t="s">
        <v>372</v>
      </c>
      <c r="M25" s="14"/>
    </row>
    <row r="26" customHeight="1" spans="1:13">
      <c r="A26" s="10">
        <v>46166</v>
      </c>
      <c r="B26" s="9"/>
      <c r="C26" s="9"/>
      <c r="D26" s="9"/>
      <c r="E26" s="9"/>
      <c r="F26" s="9" t="s">
        <v>342</v>
      </c>
      <c r="G26" s="9"/>
      <c r="H26" s="9"/>
      <c r="I26" s="9"/>
      <c r="J26" s="9"/>
      <c r="K26" s="9"/>
      <c r="M26" s="15"/>
    </row>
    <row r="27" customHeight="1" spans="1:13">
      <c r="A27" s="12">
        <v>46167</v>
      </c>
      <c r="B27" s="9"/>
      <c r="C27" s="9" t="s">
        <v>342</v>
      </c>
      <c r="D27" s="9"/>
      <c r="E27" s="9" t="s">
        <v>342</v>
      </c>
      <c r="F27" s="9" t="s">
        <v>342</v>
      </c>
      <c r="G27" s="9"/>
      <c r="H27" s="9"/>
      <c r="I27" s="9" t="s">
        <v>372</v>
      </c>
      <c r="J27" s="9" t="s">
        <v>372</v>
      </c>
      <c r="K27" s="9"/>
      <c r="M27" s="14"/>
    </row>
    <row r="28" customHeight="1" spans="1:13">
      <c r="A28" s="12">
        <v>46168</v>
      </c>
      <c r="B28" s="9"/>
      <c r="C28" s="9" t="s">
        <v>342</v>
      </c>
      <c r="D28" s="9"/>
      <c r="E28" s="9" t="s">
        <v>342</v>
      </c>
      <c r="F28" s="9" t="s">
        <v>342</v>
      </c>
      <c r="G28" s="9"/>
      <c r="H28" s="9"/>
      <c r="I28" s="9" t="s">
        <v>372</v>
      </c>
      <c r="J28" s="9" t="s">
        <v>372</v>
      </c>
      <c r="K28" s="9"/>
      <c r="M28" s="14"/>
    </row>
    <row r="29" customHeight="1" spans="1:13">
      <c r="A29" s="12">
        <v>46169</v>
      </c>
      <c r="B29" s="9"/>
      <c r="C29" s="9" t="s">
        <v>342</v>
      </c>
      <c r="D29" s="9"/>
      <c r="E29" s="9" t="s">
        <v>342</v>
      </c>
      <c r="F29" s="9" t="s">
        <v>342</v>
      </c>
      <c r="G29" s="9"/>
      <c r="H29" s="9"/>
      <c r="I29" s="9" t="s">
        <v>372</v>
      </c>
      <c r="J29" s="9" t="s">
        <v>372</v>
      </c>
      <c r="K29" s="9"/>
      <c r="M29" s="14"/>
    </row>
    <row r="30" customHeight="1" spans="1:13">
      <c r="A30" s="12">
        <v>46170</v>
      </c>
      <c r="B30" s="9"/>
      <c r="C30" s="9" t="s">
        <v>342</v>
      </c>
      <c r="D30" s="9"/>
      <c r="E30" s="9" t="s">
        <v>342</v>
      </c>
      <c r="F30" s="9" t="s">
        <v>342</v>
      </c>
      <c r="G30" s="9"/>
      <c r="H30" s="9"/>
      <c r="I30" s="9" t="s">
        <v>372</v>
      </c>
      <c r="J30" s="9" t="s">
        <v>372</v>
      </c>
      <c r="K30" s="9"/>
    </row>
    <row r="31" customHeight="1" spans="1:13">
      <c r="A31" s="12">
        <v>46171</v>
      </c>
      <c r="B31" s="9"/>
      <c r="C31" s="9" t="s">
        <v>342</v>
      </c>
      <c r="D31" s="9"/>
      <c r="E31" s="9" t="s">
        <v>342</v>
      </c>
      <c r="F31" s="9" t="s">
        <v>342</v>
      </c>
      <c r="G31" s="9"/>
      <c r="H31" s="9"/>
      <c r="I31" s="9" t="s">
        <v>372</v>
      </c>
      <c r="J31" s="9" t="s">
        <v>372</v>
      </c>
      <c r="K31" s="9"/>
    </row>
    <row r="32" customHeight="1" spans="1:13">
      <c r="A32" s="10">
        <v>46172</v>
      </c>
      <c r="B32" s="9"/>
      <c r="C32" s="9"/>
      <c r="D32" s="9"/>
      <c r="E32" s="9"/>
      <c r="F32" s="9"/>
      <c r="G32" s="9"/>
      <c r="H32" s="9"/>
      <c r="I32" s="9" t="s">
        <v>372</v>
      </c>
      <c r="J32" s="9" t="s">
        <v>372</v>
      </c>
      <c r="K32" s="9"/>
    </row>
    <row r="33" customHeight="1" spans="1:75">
      <c r="A33" s="10">
        <v>46173</v>
      </c>
      <c r="B33" s="9"/>
      <c r="C33" s="9"/>
      <c r="D33" s="9"/>
      <c r="E33" s="9"/>
      <c r="F33" s="9"/>
      <c r="G33" s="9"/>
      <c r="H33" s="9"/>
      <c r="I33" s="9"/>
      <c r="J33" s="9"/>
      <c r="K33" s="9"/>
    </row>
    <row r="34" customHeight="1" spans="1:75">
      <c r="A34" s="16" t="s">
        <v>407</v>
      </c>
      <c r="B34" s="9">
        <v>150</v>
      </c>
      <c r="C34" s="9">
        <v>150</v>
      </c>
      <c r="D34" s="9">
        <v>150</v>
      </c>
      <c r="E34" s="9">
        <v>150</v>
      </c>
      <c r="F34" s="9">
        <v>150</v>
      </c>
      <c r="G34" s="9">
        <v>150</v>
      </c>
      <c r="H34" s="9">
        <v>150</v>
      </c>
      <c r="I34" s="9">
        <v>150</v>
      </c>
      <c r="J34" s="9">
        <v>150</v>
      </c>
      <c r="K34" s="9">
        <v>150</v>
      </c>
    </row>
    <row r="35" customHeight="1" spans="1:75">
      <c r="A35" s="16" t="s">
        <v>469</v>
      </c>
      <c r="B35" s="9">
        <f t="shared" ref="B35:K35" si="0">COUNTIF(B3:B33,"夜班")+COUNTIF(B3:B34,"中班")</f>
        <v>5</v>
      </c>
      <c r="C35" s="9">
        <f t="shared" si="0"/>
        <v>9</v>
      </c>
      <c r="D35" s="9">
        <f t="shared" si="0"/>
        <v>4</v>
      </c>
      <c r="E35" s="9">
        <f t="shared" si="0"/>
        <v>10</v>
      </c>
      <c r="F35" s="9">
        <f t="shared" si="0"/>
        <v>22</v>
      </c>
      <c r="G35" s="9">
        <f t="shared" si="0"/>
        <v>1</v>
      </c>
      <c r="H35" s="9">
        <f t="shared" si="0"/>
        <v>17</v>
      </c>
      <c r="I35" s="9">
        <f t="shared" si="0"/>
        <v>6</v>
      </c>
      <c r="J35" s="9">
        <f t="shared" si="0"/>
        <v>6</v>
      </c>
      <c r="K35" s="9">
        <f t="shared" si="0"/>
        <v>15</v>
      </c>
    </row>
    <row r="36" customHeight="1" spans="1:75">
      <c r="A36" s="17" t="s">
        <v>470</v>
      </c>
      <c r="B36" s="18">
        <f t="shared" ref="B36:K36" si="1">B34*B35</f>
        <v>750</v>
      </c>
      <c r="C36" s="18">
        <f t="shared" si="1"/>
        <v>1350</v>
      </c>
      <c r="D36" s="18">
        <f t="shared" si="1"/>
        <v>600</v>
      </c>
      <c r="E36" s="18">
        <f t="shared" si="1"/>
        <v>1500</v>
      </c>
      <c r="F36" s="18">
        <f t="shared" si="1"/>
        <v>3300</v>
      </c>
      <c r="G36" s="18">
        <f t="shared" si="1"/>
        <v>150</v>
      </c>
      <c r="H36" s="18">
        <f t="shared" si="1"/>
        <v>2550</v>
      </c>
      <c r="I36" s="18">
        <f t="shared" si="1"/>
        <v>900</v>
      </c>
      <c r="J36" s="18">
        <f t="shared" si="1"/>
        <v>900</v>
      </c>
      <c r="K36" s="18">
        <f t="shared" si="1"/>
        <v>2250</v>
      </c>
    </row>
    <row r="37" customHeight="1" spans="1:75">
      <c r="A37" s="19" t="s">
        <v>471</v>
      </c>
      <c r="B37" s="20"/>
      <c r="C37" s="21"/>
      <c r="D37" s="21"/>
      <c r="E37" s="21"/>
      <c r="F37" s="21"/>
      <c r="G37" s="21"/>
      <c r="H37" s="21"/>
      <c r="I37" s="21"/>
      <c r="J37" s="21"/>
      <c r="K37" s="9">
        <f>SUM(B36:K36)</f>
        <v>14250</v>
      </c>
    </row>
    <row r="38" customHeight="1" spans="1:75">
      <c r="A38" s="22"/>
      <c r="B38" s="23"/>
      <c r="C38" s="22"/>
      <c r="D38" s="22"/>
      <c r="E38" s="22"/>
      <c r="F38" s="22"/>
      <c r="G38" s="22"/>
      <c r="H38" s="22"/>
      <c r="I38" s="22"/>
      <c r="J38" s="22"/>
      <c r="K38" s="22"/>
    </row>
    <row r="39" customHeight="1" spans="1:75">
      <c r="A39" s="24" t="s">
        <v>472</v>
      </c>
      <c r="B39" s="25"/>
      <c r="C39" s="26"/>
      <c r="D39" s="26"/>
      <c r="E39" s="26"/>
      <c r="F39" s="26"/>
      <c r="G39" s="26"/>
      <c r="H39" s="26"/>
      <c r="I39" s="26"/>
      <c r="J39" s="26"/>
      <c r="K39" s="25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3"/>
      <c r="BF39" s="3"/>
      <c r="BG39" s="3"/>
      <c r="BW39" s="28"/>
    </row>
    <row r="41" customHeight="1" spans="1:75">
      <c r="C41" s="27"/>
      <c r="D41" s="27"/>
      <c r="E41" s="27"/>
      <c r="F41" s="27"/>
      <c r="G41" s="27"/>
      <c r="H41" s="27"/>
      <c r="I41" s="27"/>
      <c r="J41" s="27"/>
    </row>
    <row r="42" customHeight="1" spans="1:75">
      <c r="C42" s="29"/>
      <c r="D42" s="29"/>
      <c r="E42" s="29"/>
      <c r="F42" s="29"/>
      <c r="G42" s="29"/>
      <c r="H42" s="29"/>
      <c r="I42" s="29"/>
      <c r="J42" s="29"/>
    </row>
    <row r="43" customHeight="1" spans="1:75">
      <c r="C43" s="29"/>
      <c r="D43" s="29"/>
      <c r="E43" s="29"/>
      <c r="F43" s="29"/>
      <c r="G43" s="29"/>
      <c r="H43" s="29"/>
      <c r="I43" s="29"/>
      <c r="J43" s="29"/>
      <c r="K43" s="30"/>
    </row>
    <row r="44" customHeight="1" spans="1:75">
      <c r="C44" s="31"/>
      <c r="D44" s="31"/>
      <c r="E44" s="31"/>
      <c r="F44" s="31"/>
      <c r="G44" s="31"/>
      <c r="H44" s="31"/>
      <c r="I44" s="31"/>
      <c r="J44" s="31"/>
    </row>
    <row r="45" customHeight="1" spans="1:75">
      <c r="C45" s="31"/>
      <c r="D45" s="31"/>
      <c r="E45" s="31"/>
      <c r="F45" s="31"/>
      <c r="G45" s="31"/>
      <c r="H45" s="31"/>
      <c r="I45" s="31"/>
      <c r="J45" s="31"/>
    </row>
    <row r="46" customHeight="1" spans="1:75">
      <c r="C46" s="29"/>
      <c r="D46" s="29"/>
      <c r="E46" s="29"/>
      <c r="F46" s="29"/>
      <c r="G46" s="29"/>
      <c r="H46" s="29"/>
      <c r="I46" s="29"/>
      <c r="J46" s="29"/>
    </row>
    <row r="47" customHeight="1" spans="1:75">
      <c r="C47" s="32"/>
      <c r="D47" s="32"/>
      <c r="E47" s="32"/>
      <c r="F47" s="32"/>
      <c r="G47" s="32"/>
      <c r="H47" s="32"/>
      <c r="I47" s="32"/>
      <c r="J47" s="32"/>
    </row>
  </sheetData>
  <autoFilter xmlns:etc="http://www.wps.cn/officeDocument/2017/etCustomData" ref="A2:BZ39" etc:filterBottomFollowUsedRange="0">
    <extLst/>
  </autoFilter>
  <mergeCells count="1">
    <mergeCell ref="A1:K1"/>
  </mergeCells>
  <conditionalFormatting sqref="M10">
    <cfRule type="duplicateValues" dxfId="1" priority="28"/>
  </conditionalFormatting>
  <conditionalFormatting sqref="M11">
    <cfRule type="duplicateValues" dxfId="1" priority="27"/>
  </conditionalFormatting>
  <conditionalFormatting sqref="M12">
    <cfRule type="duplicateValues" dxfId="1" priority="26"/>
  </conditionalFormatting>
  <conditionalFormatting sqref="M13">
    <cfRule type="duplicateValues" dxfId="1" priority="25"/>
  </conditionalFormatting>
  <conditionalFormatting sqref="M14">
    <cfRule type="duplicateValues" dxfId="1" priority="24"/>
  </conditionalFormatting>
  <conditionalFormatting sqref="M15">
    <cfRule type="duplicateValues" dxfId="1" priority="23"/>
  </conditionalFormatting>
  <conditionalFormatting sqref="M16">
    <cfRule type="duplicateValues" dxfId="1" priority="22"/>
  </conditionalFormatting>
  <conditionalFormatting sqref="M17">
    <cfRule type="duplicateValues" dxfId="1" priority="21"/>
  </conditionalFormatting>
  <conditionalFormatting sqref="M18">
    <cfRule type="duplicateValues" dxfId="1" priority="20"/>
  </conditionalFormatting>
  <conditionalFormatting sqref="M19">
    <cfRule type="duplicateValues" dxfId="1" priority="15"/>
  </conditionalFormatting>
  <conditionalFormatting sqref="M20">
    <cfRule type="duplicateValues" dxfId="1" priority="18"/>
  </conditionalFormatting>
  <conditionalFormatting sqref="M21">
    <cfRule type="duplicateValues" dxfId="1" priority="13"/>
  </conditionalFormatting>
  <conditionalFormatting sqref="M22">
    <cfRule type="duplicateValues" dxfId="1" priority="1"/>
  </conditionalFormatting>
  <conditionalFormatting sqref="M23">
    <cfRule type="duplicateValues" dxfId="1" priority="3"/>
  </conditionalFormatting>
  <conditionalFormatting sqref="M24">
    <cfRule type="duplicateValues" dxfId="1" priority="5"/>
  </conditionalFormatting>
  <conditionalFormatting sqref="M27">
    <cfRule type="duplicateValues" dxfId="1" priority="11"/>
  </conditionalFormatting>
  <conditionalFormatting sqref="M28">
    <cfRule type="duplicateValues" dxfId="1" priority="9"/>
  </conditionalFormatting>
  <conditionalFormatting sqref="M29">
    <cfRule type="duplicateValues" dxfId="1" priority="7"/>
  </conditionalFormatting>
  <conditionalFormatting sqref="M25:M26">
    <cfRule type="duplicateValues" dxfId="1" priority="19"/>
  </conditionalFormatting>
  <conditionalFormatting sqref="M20 M25:M26">
    <cfRule type="duplicateValues" dxfId="1" priority="17"/>
  </conditionalFormatting>
  <dataValidations count="1">
    <dataValidation type="list" allowBlank="1" showInputMessage="1" showErrorMessage="1" sqref="B3:K33">
      <formula1>"夜班,中班"</formula1>
    </dataValidation>
  </dataValidations>
  <pageMargins left="0.472222222222222" right="0.236111111111111" top="0.354166666666667" bottom="0.0784722222222222" header="0.826388888888889" footer="0.118055555555556"/>
  <pageSetup paperSize="9" scale="58" fitToWidth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10月考勤统计表</vt:lpstr>
      <vt:lpstr>5月考勤统计表 </vt:lpstr>
      <vt:lpstr>加班补贴表 </vt:lpstr>
      <vt:lpstr>夜班补贴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耳朵烫</cp:lastModifiedBy>
  <dcterms:created xsi:type="dcterms:W3CDTF">2020-12-07T05:43:00Z</dcterms:created>
  <dcterms:modified xsi:type="dcterms:W3CDTF">2026-06-10T00:56:20Z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KSOReadingLayout">
    <vt:bool>true</vt:bool>
  </property>
  <property fmtid="{D5CDD505-2E9C-101B-9397-08002B2CF9AE}" pid="4" name="ICV">
    <vt:lpwstr>D8E4FA1B7125467C86483C995E378C78_13</vt:lpwstr>
  </property>
  <property fmtid="{D5CDD505-2E9C-101B-9397-08002B2CF9AE}" pid="5" name="CalculationRule">
    <vt:i4>0</vt:i4>
  </property>
</Properties>
</file>